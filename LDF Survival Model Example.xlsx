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igroup-my.sharepoint.com/personal/ukorn_skywardinsurance_com/Documents/Documents/paps/Survival LDFs/"/>
    </mc:Choice>
  </mc:AlternateContent>
  <xr:revisionPtr revIDLastSave="1477" documentId="8_{CC31E55A-8BBB-40EB-81A7-0EE13C01BAF6}" xr6:coauthVersionLast="47" xr6:coauthVersionMax="47" xr10:uidLastSave="{77DC041E-0865-48E1-9BDE-4EC63CB655F1}"/>
  <bookViews>
    <workbookView xWindow="740" yWindow="400" windowWidth="15830" windowHeight="10140" xr2:uid="{B66CFAF0-0D28-4DA0-AD47-F99DD1328259}"/>
  </bookViews>
  <sheets>
    <sheet name="Example 1" sheetId="3" r:id="rId1"/>
    <sheet name="Example 2" sheetId="4" r:id="rId2"/>
    <sheet name="splines" sheetId="2" r:id="rId3"/>
  </sheets>
  <definedNames>
    <definedName name="solver_adj" localSheetId="0" hidden="1">'Example 1'!$B$49:$D$49</definedName>
    <definedName name="solver_adj" localSheetId="1" hidden="1">'Example 2'!$B$49:$D$49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'Example 1'!#REF!</definedName>
    <definedName name="solver_opt" localSheetId="1" hidden="1">'Example 2'!#REF!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4" l="1"/>
  <c r="J24" i="4"/>
  <c r="N20" i="4"/>
  <c r="M20" i="4"/>
  <c r="L20" i="4"/>
  <c r="K20" i="4"/>
  <c r="J25" i="4" l="1"/>
  <c r="A43" i="4"/>
  <c r="A42" i="4"/>
  <c r="Z38" i="4"/>
  <c r="Y38" i="4"/>
  <c r="X38" i="4"/>
  <c r="W38" i="4"/>
  <c r="V38" i="4"/>
  <c r="U38" i="4"/>
  <c r="T38" i="4"/>
  <c r="S38" i="4"/>
  <c r="R38" i="4"/>
  <c r="Q38" i="4"/>
  <c r="P38" i="4"/>
  <c r="O38" i="4"/>
  <c r="O42" i="4" s="1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Z37" i="4"/>
  <c r="Y37" i="4"/>
  <c r="X37" i="4"/>
  <c r="W37" i="4"/>
  <c r="V37" i="4"/>
  <c r="U37" i="4"/>
  <c r="T37" i="4"/>
  <c r="S37" i="4"/>
  <c r="R37" i="4"/>
  <c r="Q37" i="4"/>
  <c r="P37" i="4"/>
  <c r="P43" i="4" s="1"/>
  <c r="O37" i="4"/>
  <c r="O43" i="4" s="1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Z36" i="4"/>
  <c r="Y36" i="4"/>
  <c r="X36" i="4"/>
  <c r="W36" i="4"/>
  <c r="V36" i="4"/>
  <c r="U36" i="4"/>
  <c r="T36" i="4"/>
  <c r="S36" i="4"/>
  <c r="R36" i="4"/>
  <c r="Q36" i="4"/>
  <c r="P36" i="4"/>
  <c r="P44" i="4" s="1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Q28" i="4"/>
  <c r="P25" i="4"/>
  <c r="P27" i="4" s="1"/>
  <c r="P24" i="4"/>
  <c r="P35" i="4" s="1"/>
  <c r="P42" i="4" s="1"/>
  <c r="O24" i="4"/>
  <c r="O35" i="4" s="1"/>
  <c r="O44" i="4" s="1"/>
  <c r="N24" i="4"/>
  <c r="M24" i="4"/>
  <c r="M35" i="4" s="1"/>
  <c r="L24" i="4"/>
  <c r="K24" i="4"/>
  <c r="J35" i="4"/>
  <c r="J42" i="4" s="1"/>
  <c r="I24" i="4"/>
  <c r="H24" i="4"/>
  <c r="H35" i="4" s="1"/>
  <c r="G24" i="4"/>
  <c r="F24" i="4"/>
  <c r="F35" i="4" s="1"/>
  <c r="F43" i="4" s="1"/>
  <c r="E24" i="4"/>
  <c r="E35" i="4" s="1"/>
  <c r="E43" i="4" s="1"/>
  <c r="D24" i="4"/>
  <c r="D35" i="4" s="1"/>
  <c r="D42" i="4" s="1"/>
  <c r="C24" i="4"/>
  <c r="C35" i="4" s="1"/>
  <c r="C44" i="4" s="1"/>
  <c r="B24" i="4"/>
  <c r="N23" i="4"/>
  <c r="M23" i="4"/>
  <c r="L23" i="4"/>
  <c r="K23" i="4"/>
  <c r="I23" i="4"/>
  <c r="H23" i="4"/>
  <c r="G23" i="4"/>
  <c r="F23" i="4"/>
  <c r="E23" i="4"/>
  <c r="D23" i="4"/>
  <c r="C23" i="4"/>
  <c r="B23" i="4"/>
  <c r="P21" i="4"/>
  <c r="O21" i="4" s="1"/>
  <c r="N21" i="4" s="1"/>
  <c r="M21" i="4" s="1"/>
  <c r="L21" i="4" s="1"/>
  <c r="K21" i="4" s="1"/>
  <c r="J20" i="4"/>
  <c r="I20" i="4"/>
  <c r="H20" i="4"/>
  <c r="G20" i="4"/>
  <c r="F20" i="4"/>
  <c r="E20" i="4"/>
  <c r="D20" i="4"/>
  <c r="C20" i="4"/>
  <c r="B20" i="4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K25" i="4" l="1"/>
  <c r="M25" i="4"/>
  <c r="M41" i="4" s="1"/>
  <c r="L25" i="4"/>
  <c r="L35" i="4"/>
  <c r="L43" i="4" s="1"/>
  <c r="L44" i="4"/>
  <c r="M43" i="4"/>
  <c r="K35" i="4"/>
  <c r="K42" i="4" s="1"/>
  <c r="M42" i="4"/>
  <c r="M44" i="4"/>
  <c r="H43" i="4"/>
  <c r="D25" i="4"/>
  <c r="D41" i="4" s="1"/>
  <c r="H42" i="4"/>
  <c r="J43" i="4"/>
  <c r="G25" i="4"/>
  <c r="H25" i="4"/>
  <c r="H41" i="4" s="1"/>
  <c r="E44" i="4"/>
  <c r="D43" i="4"/>
  <c r="C42" i="4"/>
  <c r="I25" i="4"/>
  <c r="J44" i="4"/>
  <c r="D44" i="4"/>
  <c r="C43" i="4"/>
  <c r="J41" i="4"/>
  <c r="E42" i="4"/>
  <c r="G35" i="4"/>
  <c r="G42" i="4" s="1"/>
  <c r="H44" i="4"/>
  <c r="P28" i="4"/>
  <c r="P29" i="4" s="1"/>
  <c r="P30" i="4" s="1"/>
  <c r="N35" i="4"/>
  <c r="N44" i="4" s="1"/>
  <c r="N25" i="4"/>
  <c r="F44" i="4"/>
  <c r="B35" i="4"/>
  <c r="B44" i="4" s="1"/>
  <c r="B25" i="4"/>
  <c r="F42" i="4"/>
  <c r="J21" i="4"/>
  <c r="I21" i="4" s="1"/>
  <c r="H21" i="4" s="1"/>
  <c r="G21" i="4" s="1"/>
  <c r="F21" i="4" s="1"/>
  <c r="E21" i="4" s="1"/>
  <c r="D21" i="4" s="1"/>
  <c r="C21" i="4" s="1"/>
  <c r="B21" i="4" s="1"/>
  <c r="I35" i="4"/>
  <c r="I42" i="4" s="1"/>
  <c r="P41" i="4"/>
  <c r="L42" i="4"/>
  <c r="C25" i="4"/>
  <c r="C41" i="4" s="1"/>
  <c r="O25" i="4"/>
  <c r="O41" i="4" s="1"/>
  <c r="E25" i="4"/>
  <c r="E41" i="4" s="1"/>
  <c r="F25" i="4"/>
  <c r="F41" i="4" s="1"/>
  <c r="O25" i="3"/>
  <c r="N25" i="3"/>
  <c r="M25" i="3"/>
  <c r="L25" i="3"/>
  <c r="P35" i="3"/>
  <c r="P42" i="3" s="1"/>
  <c r="A43" i="3"/>
  <c r="A42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28" i="3"/>
  <c r="P24" i="3"/>
  <c r="P25" i="3" s="1"/>
  <c r="O24" i="3"/>
  <c r="O35" i="3" s="1"/>
  <c r="N24" i="3"/>
  <c r="N35" i="3" s="1"/>
  <c r="N43" i="3" s="1"/>
  <c r="M24" i="3"/>
  <c r="M35" i="3" s="1"/>
  <c r="L24" i="3"/>
  <c r="L35" i="3" s="1"/>
  <c r="L42" i="3" s="1"/>
  <c r="K24" i="3"/>
  <c r="K35" i="3" s="1"/>
  <c r="J24" i="3"/>
  <c r="J35" i="3" s="1"/>
  <c r="I24" i="3"/>
  <c r="I35" i="3" s="1"/>
  <c r="H24" i="3"/>
  <c r="H35" i="3" s="1"/>
  <c r="G24" i="3"/>
  <c r="G35" i="3" s="1"/>
  <c r="F24" i="3"/>
  <c r="F35" i="3" s="1"/>
  <c r="E24" i="3"/>
  <c r="E35" i="3" s="1"/>
  <c r="D24" i="3"/>
  <c r="C24" i="3"/>
  <c r="C35" i="3" s="1"/>
  <c r="B24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P21" i="3"/>
  <c r="O21" i="3" s="1"/>
  <c r="N21" i="3" s="1"/>
  <c r="M21" i="3" s="1"/>
  <c r="J20" i="3"/>
  <c r="I20" i="3"/>
  <c r="H20" i="3"/>
  <c r="G20" i="3"/>
  <c r="F20" i="3"/>
  <c r="E20" i="3"/>
  <c r="D20" i="3"/>
  <c r="C20" i="3"/>
  <c r="B20" i="3"/>
  <c r="K43" i="4" l="1"/>
  <c r="B41" i="4"/>
  <c r="K44" i="4"/>
  <c r="N41" i="4"/>
  <c r="N42" i="4"/>
  <c r="N43" i="4"/>
  <c r="K41" i="4"/>
  <c r="B43" i="4"/>
  <c r="G43" i="4"/>
  <c r="L41" i="4"/>
  <c r="G41" i="4"/>
  <c r="G44" i="4"/>
  <c r="I43" i="4"/>
  <c r="I44" i="4"/>
  <c r="B42" i="4"/>
  <c r="O27" i="4"/>
  <c r="I41" i="4"/>
  <c r="P27" i="3"/>
  <c r="E25" i="3"/>
  <c r="E41" i="3" s="1"/>
  <c r="B25" i="3"/>
  <c r="K25" i="3"/>
  <c r="K41" i="3" s="1"/>
  <c r="D25" i="3"/>
  <c r="M41" i="3"/>
  <c r="I25" i="3"/>
  <c r="I41" i="3" s="1"/>
  <c r="F25" i="3"/>
  <c r="F41" i="3" s="1"/>
  <c r="G25" i="3"/>
  <c r="G41" i="3" s="1"/>
  <c r="H25" i="3"/>
  <c r="H41" i="3" s="1"/>
  <c r="J25" i="3"/>
  <c r="J41" i="3" s="1"/>
  <c r="C25" i="3"/>
  <c r="C41" i="3" s="1"/>
  <c r="I43" i="3"/>
  <c r="I42" i="3"/>
  <c r="H42" i="3"/>
  <c r="I44" i="3"/>
  <c r="F42" i="3"/>
  <c r="H44" i="3"/>
  <c r="J42" i="3"/>
  <c r="N41" i="3"/>
  <c r="K43" i="3"/>
  <c r="L41" i="3"/>
  <c r="D35" i="3"/>
  <c r="D42" i="3" s="1"/>
  <c r="B35" i="3"/>
  <c r="B44" i="3" s="1"/>
  <c r="P43" i="3"/>
  <c r="M43" i="3"/>
  <c r="P44" i="3"/>
  <c r="O43" i="3"/>
  <c r="L21" i="3"/>
  <c r="K21" i="3" s="1"/>
  <c r="J21" i="3" s="1"/>
  <c r="I21" i="3" s="1"/>
  <c r="H21" i="3" s="1"/>
  <c r="G21" i="3" s="1"/>
  <c r="F21" i="3" s="1"/>
  <c r="E21" i="3" s="1"/>
  <c r="D21" i="3" s="1"/>
  <c r="C21" i="3" s="1"/>
  <c r="B21" i="3" s="1"/>
  <c r="L44" i="3"/>
  <c r="M44" i="3"/>
  <c r="N44" i="3"/>
  <c r="M42" i="3"/>
  <c r="N42" i="3"/>
  <c r="L43" i="3"/>
  <c r="J44" i="3"/>
  <c r="K44" i="3"/>
  <c r="J43" i="3"/>
  <c r="C43" i="3"/>
  <c r="K42" i="3"/>
  <c r="P28" i="3"/>
  <c r="P29" i="3" s="1"/>
  <c r="P30" i="3" s="1"/>
  <c r="E43" i="3"/>
  <c r="G44" i="3"/>
  <c r="E44" i="3"/>
  <c r="F44" i="3"/>
  <c r="F43" i="3"/>
  <c r="E42" i="3"/>
  <c r="G43" i="3"/>
  <c r="C44" i="3"/>
  <c r="C42" i="3"/>
  <c r="O42" i="3"/>
  <c r="O44" i="3"/>
  <c r="H43" i="3"/>
  <c r="G42" i="3"/>
  <c r="P41" i="3"/>
  <c r="O41" i="3"/>
  <c r="O28" i="4" l="1"/>
  <c r="O29" i="4" s="1"/>
  <c r="O30" i="4" s="1"/>
  <c r="N27" i="4"/>
  <c r="B48" i="4" a="1"/>
  <c r="B48" i="4" s="1"/>
  <c r="J51" i="4" s="1" a="1"/>
  <c r="J51" i="4" s="1"/>
  <c r="D43" i="3"/>
  <c r="B42" i="3"/>
  <c r="D44" i="3"/>
  <c r="D41" i="3"/>
  <c r="B43" i="3"/>
  <c r="B41" i="3"/>
  <c r="O27" i="3"/>
  <c r="O28" i="3"/>
  <c r="O29" i="3" s="1"/>
  <c r="O30" i="3" s="1"/>
  <c r="N27" i="3"/>
  <c r="H51" i="4" l="1" a="1"/>
  <c r="H51" i="4" s="1"/>
  <c r="K51" i="4" a="1"/>
  <c r="K51" i="4" s="1"/>
  <c r="L51" i="4" a="1"/>
  <c r="L51" i="4" s="1"/>
  <c r="M51" i="4" a="1"/>
  <c r="M51" i="4" s="1"/>
  <c r="I51" i="4" a="1"/>
  <c r="I51" i="4" s="1"/>
  <c r="W51" i="4" a="1"/>
  <c r="W51" i="4" s="1"/>
  <c r="Q51" i="4" a="1"/>
  <c r="Q51" i="4" s="1"/>
  <c r="E51" i="4" a="1"/>
  <c r="E51" i="4" s="1"/>
  <c r="O51" i="4" a="1"/>
  <c r="O51" i="4" s="1"/>
  <c r="C51" i="4" a="1"/>
  <c r="C51" i="4" s="1"/>
  <c r="V51" i="4" a="1"/>
  <c r="V51" i="4" s="1"/>
  <c r="P51" i="4" a="1"/>
  <c r="P51" i="4" s="1"/>
  <c r="D51" i="4" a="1"/>
  <c r="D51" i="4" s="1"/>
  <c r="U51" i="4" a="1"/>
  <c r="U51" i="4" s="1"/>
  <c r="Z51" i="4" a="1"/>
  <c r="Z51" i="4" s="1"/>
  <c r="Z52" i="4" s="1"/>
  <c r="T51" i="4" a="1"/>
  <c r="T51" i="4" s="1"/>
  <c r="N51" i="4" a="1"/>
  <c r="N51" i="4" s="1"/>
  <c r="B51" i="4" a="1"/>
  <c r="B51" i="4" s="1"/>
  <c r="Y51" i="4" a="1"/>
  <c r="Y51" i="4" s="1"/>
  <c r="S51" i="4" a="1"/>
  <c r="S51" i="4" s="1"/>
  <c r="G51" i="4" a="1"/>
  <c r="G51" i="4" s="1"/>
  <c r="X51" i="4" a="1"/>
  <c r="X51" i="4" s="1"/>
  <c r="R51" i="4" a="1"/>
  <c r="R51" i="4" s="1"/>
  <c r="F51" i="4" a="1"/>
  <c r="F51" i="4" s="1"/>
  <c r="M27" i="4"/>
  <c r="N28" i="4"/>
  <c r="N29" i="4" s="1"/>
  <c r="N30" i="4" s="1"/>
  <c r="B48" i="3" a="1"/>
  <c r="B48" i="3" s="1"/>
  <c r="B51" i="3" s="1" a="1"/>
  <c r="B51" i="3" s="1"/>
  <c r="N28" i="3"/>
  <c r="N29" i="3" s="1"/>
  <c r="N30" i="3" s="1"/>
  <c r="M27" i="3"/>
  <c r="M28" i="4" l="1"/>
  <c r="M29" i="4" s="1"/>
  <c r="M30" i="4" s="1"/>
  <c r="L27" i="4"/>
  <c r="Z53" i="4"/>
  <c r="Y52" i="4"/>
  <c r="C51" i="3" a="1"/>
  <c r="C51" i="3" s="1"/>
  <c r="I51" i="3" a="1"/>
  <c r="I51" i="3" s="1"/>
  <c r="O51" i="3" a="1"/>
  <c r="O51" i="3" s="1"/>
  <c r="U51" i="3" a="1"/>
  <c r="U51" i="3" s="1"/>
  <c r="J51" i="3" a="1"/>
  <c r="J51" i="3" s="1"/>
  <c r="E51" i="3" a="1"/>
  <c r="E51" i="3" s="1"/>
  <c r="Q51" i="3" a="1"/>
  <c r="Q51" i="3" s="1"/>
  <c r="F51" i="3" a="1"/>
  <c r="F51" i="3" s="1"/>
  <c r="L51" i="3" a="1"/>
  <c r="L51" i="3" s="1"/>
  <c r="R51" i="3" a="1"/>
  <c r="R51" i="3" s="1"/>
  <c r="X51" i="3" a="1"/>
  <c r="X51" i="3" s="1"/>
  <c r="G51" i="3" a="1"/>
  <c r="G51" i="3" s="1"/>
  <c r="S51" i="3" a="1"/>
  <c r="S51" i="3" s="1"/>
  <c r="Y51" i="3" a="1"/>
  <c r="Y51" i="3" s="1"/>
  <c r="H51" i="3" a="1"/>
  <c r="H51" i="3" s="1"/>
  <c r="T51" i="3" a="1"/>
  <c r="T51" i="3" s="1"/>
  <c r="Z51" i="3" a="1"/>
  <c r="Z51" i="3" s="1"/>
  <c r="Z52" i="3" s="1"/>
  <c r="Z53" i="3" s="1"/>
  <c r="P51" i="3" a="1"/>
  <c r="P51" i="3" s="1"/>
  <c r="M51" i="3" a="1"/>
  <c r="M51" i="3" s="1"/>
  <c r="N51" i="3" a="1"/>
  <c r="N51" i="3" s="1"/>
  <c r="D51" i="3" a="1"/>
  <c r="D51" i="3" s="1"/>
  <c r="V51" i="3" a="1"/>
  <c r="V51" i="3" s="1"/>
  <c r="K51" i="3" a="1"/>
  <c r="K51" i="3" s="1"/>
  <c r="W51" i="3" a="1"/>
  <c r="W51" i="3" s="1"/>
  <c r="M28" i="3"/>
  <c r="M29" i="3" s="1"/>
  <c r="M30" i="3" s="1"/>
  <c r="L27" i="3"/>
  <c r="Y53" i="4" l="1"/>
  <c r="Y54" i="4" s="1"/>
  <c r="X52" i="4"/>
  <c r="L28" i="4"/>
  <c r="L29" i="4" s="1"/>
  <c r="L30" i="4" s="1"/>
  <c r="K27" i="4"/>
  <c r="Y52" i="3"/>
  <c r="Y53" i="3" s="1"/>
  <c r="Y54" i="3" s="1"/>
  <c r="L28" i="3"/>
  <c r="L29" i="3" s="1"/>
  <c r="L30" i="3" s="1"/>
  <c r="K27" i="3"/>
  <c r="K28" i="4" l="1"/>
  <c r="K29" i="4" s="1"/>
  <c r="K30" i="4" s="1"/>
  <c r="J27" i="4"/>
  <c r="X53" i="4"/>
  <c r="X54" i="4" s="1"/>
  <c r="W52" i="4"/>
  <c r="X52" i="3"/>
  <c r="X53" i="3" s="1"/>
  <c r="X54" i="3" s="1"/>
  <c r="K28" i="3"/>
  <c r="K29" i="3" s="1"/>
  <c r="K30" i="3" s="1"/>
  <c r="J27" i="3"/>
  <c r="W53" i="4" l="1"/>
  <c r="W54" i="4" s="1"/>
  <c r="V52" i="4"/>
  <c r="J28" i="4"/>
  <c r="J29" i="4" s="1"/>
  <c r="J30" i="4" s="1"/>
  <c r="I27" i="4"/>
  <c r="W52" i="3"/>
  <c r="W53" i="3" s="1"/>
  <c r="W54" i="3" s="1"/>
  <c r="J28" i="3"/>
  <c r="J29" i="3" s="1"/>
  <c r="J30" i="3" s="1"/>
  <c r="I27" i="3"/>
  <c r="I28" i="4" l="1"/>
  <c r="I29" i="4" s="1"/>
  <c r="I30" i="4" s="1"/>
  <c r="H27" i="4"/>
  <c r="V53" i="4"/>
  <c r="V54" i="4" s="1"/>
  <c r="U52" i="4"/>
  <c r="V52" i="3"/>
  <c r="U52" i="3" s="1"/>
  <c r="U53" i="3" s="1"/>
  <c r="I28" i="3"/>
  <c r="I29" i="3" s="1"/>
  <c r="I30" i="3" s="1"/>
  <c r="H27" i="3"/>
  <c r="G27" i="4" l="1"/>
  <c r="H28" i="4"/>
  <c r="H29" i="4" s="1"/>
  <c r="H30" i="4" s="1"/>
  <c r="U53" i="4"/>
  <c r="U54" i="4" s="1"/>
  <c r="T52" i="4"/>
  <c r="T52" i="3"/>
  <c r="T53" i="3" s="1"/>
  <c r="T54" i="3" s="1"/>
  <c r="V53" i="3"/>
  <c r="V54" i="3" s="1"/>
  <c r="G27" i="3"/>
  <c r="H28" i="3"/>
  <c r="H29" i="3" s="1"/>
  <c r="H30" i="3" s="1"/>
  <c r="S52" i="4" l="1"/>
  <c r="T53" i="4"/>
  <c r="T54" i="4" s="1"/>
  <c r="F27" i="4"/>
  <c r="G28" i="4"/>
  <c r="G29" i="4" s="1"/>
  <c r="G30" i="4" s="1"/>
  <c r="S52" i="3"/>
  <c r="R52" i="3" s="1"/>
  <c r="U54" i="3"/>
  <c r="F27" i="3"/>
  <c r="G28" i="3"/>
  <c r="G29" i="3" s="1"/>
  <c r="G30" i="3" s="1"/>
  <c r="F28" i="4" l="1"/>
  <c r="F29" i="4" s="1"/>
  <c r="F30" i="4" s="1"/>
  <c r="E27" i="4"/>
  <c r="R52" i="4"/>
  <c r="S53" i="4"/>
  <c r="S54" i="4" s="1"/>
  <c r="S53" i="3"/>
  <c r="S54" i="3" s="1"/>
  <c r="E27" i="3"/>
  <c r="F28" i="3"/>
  <c r="F29" i="3" s="1"/>
  <c r="F30" i="3" s="1"/>
  <c r="Q52" i="3"/>
  <c r="R53" i="3"/>
  <c r="Q52" i="4" l="1"/>
  <c r="R53" i="4"/>
  <c r="R54" i="4" s="1"/>
  <c r="D27" i="4"/>
  <c r="E28" i="4"/>
  <c r="E29" i="4" s="1"/>
  <c r="E30" i="4" s="1"/>
  <c r="R54" i="3"/>
  <c r="Q53" i="3"/>
  <c r="Q54" i="3" s="1"/>
  <c r="P52" i="3"/>
  <c r="D27" i="3"/>
  <c r="E28" i="3"/>
  <c r="E29" i="3" s="1"/>
  <c r="E30" i="3" s="1"/>
  <c r="D28" i="4" l="1"/>
  <c r="D29" i="4" s="1"/>
  <c r="D30" i="4" s="1"/>
  <c r="C27" i="4"/>
  <c r="Q53" i="4"/>
  <c r="Q54" i="4" s="1"/>
  <c r="P52" i="4"/>
  <c r="D28" i="3"/>
  <c r="D29" i="3" s="1"/>
  <c r="D30" i="3" s="1"/>
  <c r="C27" i="3"/>
  <c r="P53" i="3"/>
  <c r="P54" i="3" s="1"/>
  <c r="O52" i="3"/>
  <c r="P53" i="4" l="1"/>
  <c r="P54" i="4" s="1"/>
  <c r="O52" i="4"/>
  <c r="C28" i="4"/>
  <c r="C29" i="4" s="1"/>
  <c r="C30" i="4" s="1"/>
  <c r="B27" i="4"/>
  <c r="B28" i="4" s="1"/>
  <c r="O53" i="3"/>
  <c r="O54" i="3" s="1"/>
  <c r="N52" i="3"/>
  <c r="C28" i="3"/>
  <c r="C29" i="3" s="1"/>
  <c r="C30" i="3" s="1"/>
  <c r="B27" i="3"/>
  <c r="B28" i="3" s="1"/>
  <c r="B29" i="4" l="1"/>
  <c r="B30" i="4" s="1"/>
  <c r="N52" i="4"/>
  <c r="O53" i="4"/>
  <c r="O54" i="4" s="1"/>
  <c r="B29" i="3"/>
  <c r="B30" i="3" s="1"/>
  <c r="M52" i="3"/>
  <c r="N53" i="3"/>
  <c r="N54" i="3" s="1"/>
  <c r="N53" i="4" l="1"/>
  <c r="N54" i="4" s="1"/>
  <c r="M52" i="4"/>
  <c r="M53" i="3"/>
  <c r="M54" i="3" s="1"/>
  <c r="L52" i="3"/>
  <c r="M53" i="4" l="1"/>
  <c r="M54" i="4" s="1"/>
  <c r="L52" i="4"/>
  <c r="L53" i="3"/>
  <c r="L54" i="3" s="1"/>
  <c r="K52" i="3"/>
  <c r="L53" i="4" l="1"/>
  <c r="L54" i="4" s="1"/>
  <c r="K52" i="4"/>
  <c r="K53" i="3"/>
  <c r="K54" i="3" s="1"/>
  <c r="J52" i="3"/>
  <c r="K53" i="4" l="1"/>
  <c r="K54" i="4" s="1"/>
  <c r="J52" i="4"/>
  <c r="J53" i="3"/>
  <c r="J54" i="3" s="1"/>
  <c r="I52" i="3"/>
  <c r="J53" i="4" l="1"/>
  <c r="J54" i="4" s="1"/>
  <c r="I52" i="4"/>
  <c r="I53" i="3"/>
  <c r="I54" i="3" s="1"/>
  <c r="H52" i="3"/>
  <c r="I53" i="4" l="1"/>
  <c r="I54" i="4" s="1"/>
  <c r="H52" i="4"/>
  <c r="H53" i="3"/>
  <c r="H54" i="3" s="1"/>
  <c r="G52" i="3"/>
  <c r="G52" i="4" l="1"/>
  <c r="H53" i="4"/>
  <c r="H54" i="4" s="1"/>
  <c r="F52" i="3"/>
  <c r="G53" i="3"/>
  <c r="G54" i="3" s="1"/>
  <c r="F52" i="4" l="1"/>
  <c r="G53" i="4"/>
  <c r="G54" i="4" s="1"/>
  <c r="E52" i="3"/>
  <c r="F53" i="3"/>
  <c r="F54" i="3" s="1"/>
  <c r="E52" i="4" l="1"/>
  <c r="F53" i="4"/>
  <c r="F54" i="4" s="1"/>
  <c r="E53" i="3"/>
  <c r="E54" i="3" s="1"/>
  <c r="D52" i="3"/>
  <c r="E53" i="4" l="1"/>
  <c r="E54" i="4" s="1"/>
  <c r="D52" i="4"/>
  <c r="D53" i="3"/>
  <c r="D54" i="3" s="1"/>
  <c r="C52" i="3"/>
  <c r="D53" i="4" l="1"/>
  <c r="D54" i="4" s="1"/>
  <c r="C52" i="4"/>
  <c r="C53" i="3"/>
  <c r="C54" i="3" s="1"/>
  <c r="B52" i="3"/>
  <c r="B53" i="3" s="1"/>
  <c r="B52" i="4" l="1"/>
  <c r="B53" i="4" s="1"/>
  <c r="C53" i="4"/>
  <c r="C54" i="4" s="1"/>
  <c r="B54" i="3"/>
  <c r="B54" i="4" l="1"/>
  <c r="B59" i="3" l="1" a="1"/>
  <c r="B59" i="3" l="1"/>
  <c r="T62" i="3" s="1"/>
  <c r="N62" i="3" l="1"/>
  <c r="H62" i="3"/>
  <c r="V62" i="3"/>
  <c r="U62" i="3"/>
  <c r="M62" i="3"/>
  <c r="X62" i="3"/>
  <c r="R62" i="3"/>
  <c r="C62" i="3"/>
  <c r="E62" i="3"/>
  <c r="F62" i="3"/>
  <c r="L62" i="3"/>
  <c r="I62" i="3"/>
  <c r="J62" i="3"/>
  <c r="O62" i="3"/>
  <c r="P62" i="3"/>
  <c r="K62" i="3"/>
  <c r="Z62" i="3"/>
  <c r="B62" i="3"/>
  <c r="Q62" i="3"/>
  <c r="S62" i="3"/>
  <c r="D62" i="3"/>
  <c r="G62" i="3"/>
  <c r="Y62" i="3"/>
  <c r="W62" i="3"/>
  <c r="B59" i="4" a="1"/>
  <c r="B59" i="4" l="1"/>
  <c r="J62" i="4" s="1"/>
  <c r="B62" i="4" l="1"/>
  <c r="S62" i="4"/>
  <c r="N62" i="4"/>
  <c r="C62" i="4"/>
  <c r="L62" i="4"/>
  <c r="K62" i="4"/>
  <c r="T62" i="4"/>
  <c r="Z62" i="4"/>
  <c r="R62" i="4"/>
  <c r="P62" i="4"/>
  <c r="M62" i="4"/>
  <c r="X62" i="4"/>
  <c r="H62" i="4"/>
  <c r="V62" i="4"/>
  <c r="Q62" i="4"/>
  <c r="W62" i="4"/>
  <c r="G62" i="4"/>
  <c r="I62" i="4"/>
  <c r="U62" i="4"/>
  <c r="F62" i="4"/>
  <c r="D62" i="4"/>
  <c r="E62" i="4"/>
  <c r="O62" i="4"/>
  <c r="Y6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Uri Korn</author>
  </authors>
  <commentList>
    <comment ref="A1" authorId="0" shapeId="0" xr:uid="{F6833102-E7FC-497A-ACEB-1FC0ECB360EF}">
      <text>
        <r>
          <rPr>
            <b/>
            <sz val="9"/>
            <color indexed="81"/>
            <rFont val="Tahoma"/>
            <family val="2"/>
          </rPr>
          <t>Uri Korn:</t>
        </r>
        <r>
          <rPr>
            <sz val="9"/>
            <color indexed="81"/>
            <rFont val="Tahoma"/>
            <family val="2"/>
          </rPr>
          <t xml:space="preserve">
library(splines)
ns(1/log(2:300), df=2)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<sst xmlns="http://schemas.openxmlformats.org/spreadsheetml/2006/main" count="67" uniqueCount="22">
  <si>
    <t>Year</t>
  </si>
  <si>
    <t>Age</t>
  </si>
  <si>
    <t>ata</t>
  </si>
  <si>
    <t>atu</t>
  </si>
  <si>
    <t>d(age)</t>
  </si>
  <si>
    <t>n(age)</t>
  </si>
  <si>
    <t>F(age)</t>
  </si>
  <si>
    <t>h(age)</t>
  </si>
  <si>
    <t>age</t>
  </si>
  <si>
    <t>weight</t>
  </si>
  <si>
    <t>Parameters</t>
  </si>
  <si>
    <t>Fitted</t>
  </si>
  <si>
    <t>inv log(age)</t>
  </si>
  <si>
    <t>Multiplied by Weights:</t>
  </si>
  <si>
    <t>age-to-age</t>
  </si>
  <si>
    <t>age-to-ultimate</t>
  </si>
  <si>
    <t>spline 1</t>
  </si>
  <si>
    <t>spline 2</t>
  </si>
  <si>
    <t>LDF Survival Model</t>
  </si>
  <si>
    <t>Inverse Power Curve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</si>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</sst>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  <font>
      <sz val="7"/>
      <color rgb="FF0A0A0A"/>
      <name val="Courier New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2" fillId="0" borderId="0" xfId="1" applyNumberFormat="1" applyFont="1"/>
    <xf numFmtId="9" fontId="0" fillId="0" borderId="0" xfId="2" applyFont="1"/>
    <xf numFmtId="164" fontId="4" fillId="0" borderId="0" xfId="1" applyNumberFormat="1" applyFont="1"/>
    <xf numFmtId="11" fontId="0" fillId="0" borderId="0" xfId="0" applyNumberFormat="1"/>
    <xf numFmtId="0" fontId="7" fillId="0" borderId="0" xfId="0" applyFont="1"/>
    <xf numFmtId="43" fontId="0" fillId="0" borderId="0" xfId="0" applyNumberFormat="1"/>
    <xf numFmtId="0" fontId="8" fillId="0" borderId="0" xfId="0" applyFont="1"/>
    <xf numFmtId="9" fontId="9" fillId="2" borderId="0" xfId="0" applyNumberFormat="1" applyFont="1" applyFill="1"/>
    <xf numFmtId="165" fontId="0" fillId="0" borderId="0" xfId="1" applyNumberFormat="1" applyFont="1"/>
    <xf numFmtId="165" fontId="4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'Example 1'!$C$2:$P$2</c:f>
              <c:numCache>
                <c:formatCode>General</c:formatCode>
                <c:ptCount val="1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</c:numCache>
            </c:numRef>
          </c:cat>
          <c:val>
            <c:numRef>
              <c:f>'Example 1'!$C$20:$J$20</c:f>
              <c:numCache>
                <c:formatCode>_(* #,##0.000_);_(* \(#,##0.000\);_(* "-"??_);_(@_)</c:formatCode>
                <c:ptCount val="8"/>
                <c:pt idx="0">
                  <c:v>1.9029239073293893</c:v>
                </c:pt>
                <c:pt idx="1">
                  <c:v>1.7176403578039845</c:v>
                </c:pt>
                <c:pt idx="2">
                  <c:v>1.2035980884610018</c:v>
                </c:pt>
                <c:pt idx="3">
                  <c:v>1.176660464056507</c:v>
                </c:pt>
                <c:pt idx="4">
                  <c:v>1.2612344230749442</c:v>
                </c:pt>
                <c:pt idx="5">
                  <c:v>0.95069520159160137</c:v>
                </c:pt>
                <c:pt idx="6">
                  <c:v>1.1793271201979112</c:v>
                </c:pt>
                <c:pt idx="7">
                  <c:v>1.0084787350054525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9-49EE-A3C0-C21B264BF5B8}"/>
            </c:ext>
          </c:extLst>
        </c:ser>
        <c:ser>
          <c:idx val="1"/>
          <c:order val="1"/>
          <c:tx>
            <c:strRef>
              <c:f>'Example 1'!$A$33</c:f>
              <c:strCache>
                <c:ptCount val="1"/>
                <c:pt idx="0">
                  <c:v>LDF Survival 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'Example 1'!$C$2:$P$2</c:f>
              <c:numCache>
                <c:formatCode>General</c:formatCode>
                <c:ptCount val="1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</c:numCache>
            </c:numRef>
          </c:cat>
          <c:val>
            <c:numRef>
              <c:f>'Example 1'!$C$54:$J$54</c:f>
              <c:numCache>
                <c:formatCode>_(* #,##0.000_);_(* \(#,##0.000\);_(* "-"??_);_(@_)</c:formatCode>
                <c:ptCount val="8"/>
                <c:pt idx="0">
                  <c:v>1.8691822523168107</c:v>
                </c:pt>
                <c:pt idx="1">
                  <c:v>1.5177884080037989</c:v>
                </c:pt>
                <c:pt idx="2">
                  <c:v>1.3357741135348276</c:v>
                </c:pt>
                <c:pt idx="3">
                  <c:v>1.22380451183723</c:v>
                </c:pt>
                <c:pt idx="4">
                  <c:v>1.1471070668184284</c:v>
                </c:pt>
                <c:pt idx="5">
                  <c:v>1.0907301438535801</c:v>
                </c:pt>
                <c:pt idx="6">
                  <c:v>1.047196757476496</c:v>
                </c:pt>
                <c:pt idx="7">
                  <c:v>1.0123426128549904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9-49EE-A3C0-C21B264BF5B8}"/>
            </c:ext>
          </c:extLst>
        </c:ser>
        <c:ser>
          <c:idx val="2"/>
          <c:order val="2"/>
          <c:tx>
            <c:strRef>
              <c:f>'Example 1'!$A$57</c:f>
              <c:strCache>
                <c:ptCount val="1"/>
                <c:pt idx="0">
                  <c:v>Inverse Power Curve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'Example 1'!$C$2:$P$2</c:f>
              <c:numCache>
                <c:formatCode>General</c:formatCode>
                <c:ptCount val="1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</c:numCache>
            </c:numRef>
          </c:cat>
          <c:val>
            <c:numRef>
              <c:f>'Example 1'!$C$62:$J$62</c:f>
              <c:numCache>
                <c:formatCode>_(* #,##0.000_);_(* \(#,##0.000\);_(* "-"??_);_(@_)</c:formatCode>
                <c:ptCount val="8"/>
                <c:pt idx="0">
                  <c:v>2.1500017235279847</c:v>
                </c:pt>
                <c:pt idx="1">
                  <c:v>1.1896296885437576</c:v>
                </c:pt>
                <c:pt idx="2">
                  <c:v>1.0527845053155145</c:v>
                </c:pt>
                <c:pt idx="3">
                  <c:v>1.0195751384879448</c:v>
                </c:pt>
                <c:pt idx="4">
                  <c:v>1.0087039080882505</c:v>
                </c:pt>
                <c:pt idx="5">
                  <c:v>1.0043864231943886</c:v>
                </c:pt>
                <c:pt idx="6">
                  <c:v>1.0024227824571046</c:v>
                </c:pt>
                <c:pt idx="7">
                  <c:v>1.0014352320923703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D9-49EE-A3C0-C21B264BF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60752"/>
        <c:axId val="326962448"/>
      </c:lineChart>
      <c:catAx>
        <c:axId val="1966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962448"/>
        <c:crosses val="autoZero"/>
        <c:auto val="1"/>
        <c:lblAlgn val="ctr"/>
        <c:lblOffset val="100"/>
        <c:noMultiLvlLbl val="0"/>
      </c:catAx>
      <c:valAx>
        <c:axId val="3269624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'Example 1'!$B$2:$P$2</c:f>
              <c:numCache>
                <c:formatCode>General</c:formatCode>
                <c:ptCount val="15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</c:numCache>
            </c:numRef>
          </c:cat>
          <c:val>
            <c:numRef>
              <c:f>'Example 1'!$B$20:$J$20</c:f>
              <c:numCache>
                <c:formatCode>_(* #,##0.000_);_(* \(#,##0.000\);_(* "-"??_);_(@_)</c:formatCode>
                <c:ptCount val="9"/>
                <c:pt idx="0">
                  <c:v>2.4271249164767763</c:v>
                </c:pt>
                <c:pt idx="1">
                  <c:v>1.9029239073293893</c:v>
                </c:pt>
                <c:pt idx="2">
                  <c:v>1.7176403578039845</c:v>
                </c:pt>
                <c:pt idx="3">
                  <c:v>1.2035980884610018</c:v>
                </c:pt>
                <c:pt idx="4">
                  <c:v>1.176660464056507</c:v>
                </c:pt>
                <c:pt idx="5">
                  <c:v>1.2612344230749442</c:v>
                </c:pt>
                <c:pt idx="6">
                  <c:v>0.95069520159160137</c:v>
                </c:pt>
                <c:pt idx="7">
                  <c:v>1.1793271201979112</c:v>
                </c:pt>
                <c:pt idx="8">
                  <c:v>1.0084787350054525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E-4B14-A4F4-9C7C037E4B35}"/>
            </c:ext>
          </c:extLst>
        </c:ser>
        <c:ser>
          <c:idx val="1"/>
          <c:order val="1"/>
          <c:tx>
            <c:strRef>
              <c:f>'Example 1'!$A$33</c:f>
              <c:strCache>
                <c:ptCount val="1"/>
                <c:pt idx="0">
                  <c:v>LDF Survival 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'Example 1'!$B$2:$P$2</c:f>
              <c:numCache>
                <c:formatCode>General</c:formatCode>
                <c:ptCount val="15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</c:numCache>
            </c:numRef>
          </c:cat>
          <c:val>
            <c:numRef>
              <c:f>'Example 1'!$B$54:$J$54</c:f>
              <c:numCache>
                <c:formatCode>_(* #,##0.000_);_(* \(#,##0.000\);_(* "-"??_);_(@_)</c:formatCode>
                <c:ptCount val="9"/>
                <c:pt idx="0">
                  <c:v>2.5888285219745275</c:v>
                </c:pt>
                <c:pt idx="1">
                  <c:v>1.8691822523168107</c:v>
                </c:pt>
                <c:pt idx="2">
                  <c:v>1.5177884080037989</c:v>
                </c:pt>
                <c:pt idx="3">
                  <c:v>1.3357741135348276</c:v>
                </c:pt>
                <c:pt idx="4">
                  <c:v>1.22380451183723</c:v>
                </c:pt>
                <c:pt idx="5">
                  <c:v>1.1471070668184284</c:v>
                </c:pt>
                <c:pt idx="6">
                  <c:v>1.0907301438535801</c:v>
                </c:pt>
                <c:pt idx="7">
                  <c:v>1.047196757476496</c:v>
                </c:pt>
                <c:pt idx="8">
                  <c:v>1.0123426128549904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E-4B14-A4F4-9C7C037E4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60752"/>
        <c:axId val="326962448"/>
      </c:lineChart>
      <c:catAx>
        <c:axId val="1966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962448"/>
        <c:crosses val="autoZero"/>
        <c:auto val="1"/>
        <c:lblAlgn val="ctr"/>
        <c:lblOffset val="100"/>
        <c:noMultiLvlLbl val="0"/>
      </c:catAx>
      <c:valAx>
        <c:axId val="3269624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'Example 2'!$C$2:$P$2</c:f>
              <c:numCache>
                <c:formatCode>General</c:formatCode>
                <c:ptCount val="1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</c:numCache>
            </c:numRef>
          </c:cat>
          <c:val>
            <c:numRef>
              <c:f>'Example 2'!$C$20:$J$20</c:f>
              <c:numCache>
                <c:formatCode>_(* #,##0.000_);_(* \(#,##0.000\);_(* "-"??_);_(@_)</c:formatCode>
                <c:ptCount val="8"/>
                <c:pt idx="0">
                  <c:v>1.2120785266443335</c:v>
                </c:pt>
                <c:pt idx="1">
                  <c:v>1.1747156978068798</c:v>
                </c:pt>
                <c:pt idx="2">
                  <c:v>1.0614058863924769</c:v>
                </c:pt>
                <c:pt idx="3">
                  <c:v>1.0524413548375706</c:v>
                </c:pt>
                <c:pt idx="4">
                  <c:v>1.0619182485971845</c:v>
                </c:pt>
                <c:pt idx="5">
                  <c:v>0.94389870421798472</c:v>
                </c:pt>
                <c:pt idx="6">
                  <c:v>1.0690214909014535</c:v>
                </c:pt>
                <c:pt idx="7">
                  <c:v>0.9777246598710464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F-4850-BCF8-45433BF59F14}"/>
            </c:ext>
          </c:extLst>
        </c:ser>
        <c:ser>
          <c:idx val="1"/>
          <c:order val="1"/>
          <c:tx>
            <c:strRef>
              <c:f>'Example 2'!$A$33</c:f>
              <c:strCache>
                <c:ptCount val="1"/>
                <c:pt idx="0">
                  <c:v>LDF Survival 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'Example 2'!$C$2:$P$2</c:f>
              <c:numCache>
                <c:formatCode>General</c:formatCode>
                <c:ptCount val="1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</c:numCache>
            </c:numRef>
          </c:cat>
          <c:val>
            <c:numRef>
              <c:f>'Example 2'!$C$54:$J$54</c:f>
              <c:numCache>
                <c:formatCode>_(* #,##0.000_);_(* \(#,##0.000\);_(* "-"??_);_(@_)</c:formatCode>
                <c:ptCount val="8"/>
                <c:pt idx="0">
                  <c:v>1.2440255816659809</c:v>
                </c:pt>
                <c:pt idx="1">
                  <c:v>1.1294192410672006</c:v>
                </c:pt>
                <c:pt idx="2">
                  <c:v>1.0790691376525661</c:v>
                </c:pt>
                <c:pt idx="3">
                  <c:v>1.0502885158504212</c:v>
                </c:pt>
                <c:pt idx="4">
                  <c:v>1.0314557926985988</c:v>
                </c:pt>
                <c:pt idx="5">
                  <c:v>1.0180698476339016</c:v>
                </c:pt>
                <c:pt idx="6">
                  <c:v>1.0080083432212172</c:v>
                </c:pt>
                <c:pt idx="7">
                  <c:v>1.0001346832030382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F-4850-BCF8-45433BF59F14}"/>
            </c:ext>
          </c:extLst>
        </c:ser>
        <c:ser>
          <c:idx val="2"/>
          <c:order val="2"/>
          <c:tx>
            <c:strRef>
              <c:f>'Example 2'!$A$57</c:f>
              <c:strCache>
                <c:ptCount val="1"/>
                <c:pt idx="0">
                  <c:v>Inverse Power Curve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'Example 2'!$C$2:$P$2</c:f>
              <c:numCache>
                <c:formatCode>General</c:formatCode>
                <c:ptCount val="1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</c:numCache>
            </c:numRef>
          </c:cat>
          <c:val>
            <c:numRef>
              <c:f>'Example 2'!$C$62:$J$62</c:f>
              <c:numCache>
                <c:formatCode>_(* #,##0.000_);_(* \(#,##0.000\);_(* "-"??_);_(@_)</c:formatCode>
                <c:ptCount val="8"/>
                <c:pt idx="0">
                  <c:v>1.3277944957769152</c:v>
                </c:pt>
                <c:pt idx="1">
                  <c:v>1.0623756487948866</c:v>
                </c:pt>
                <c:pt idx="2">
                  <c:v>1.0192198839223674</c:v>
                </c:pt>
                <c:pt idx="3">
                  <c:v>1.0077122899381779</c:v>
                </c:pt>
                <c:pt idx="4">
                  <c:v>1.0036573302629095</c:v>
                </c:pt>
                <c:pt idx="5">
                  <c:v>1.001946300418612</c:v>
                </c:pt>
                <c:pt idx="6">
                  <c:v>1.0011269375866538</c:v>
                </c:pt>
                <c:pt idx="7">
                  <c:v>1.0006959492942842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F-4850-BCF8-45433BF59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60752"/>
        <c:axId val="326962448"/>
      </c:lineChart>
      <c:catAx>
        <c:axId val="1966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962448"/>
        <c:crosses val="autoZero"/>
        <c:auto val="1"/>
        <c:lblAlgn val="ctr"/>
        <c:lblOffset val="100"/>
        <c:noMultiLvlLbl val="0"/>
      </c:catAx>
      <c:valAx>
        <c:axId val="3269624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'Example 2'!$B$2:$P$2</c:f>
              <c:numCache>
                <c:formatCode>General</c:formatCode>
                <c:ptCount val="15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</c:numCache>
            </c:numRef>
          </c:cat>
          <c:val>
            <c:numRef>
              <c:f>'Example 2'!$B$20:$J$20</c:f>
              <c:numCache>
                <c:formatCode>_(* #,##0.000_);_(* \(#,##0.000\);_(* "-"??_);_(@_)</c:formatCode>
                <c:ptCount val="9"/>
                <c:pt idx="0">
                  <c:v>1.8357976563638536</c:v>
                </c:pt>
                <c:pt idx="1">
                  <c:v>1.2120785266443335</c:v>
                </c:pt>
                <c:pt idx="2">
                  <c:v>1.1747156978068798</c:v>
                </c:pt>
                <c:pt idx="3">
                  <c:v>1.0614058863924769</c:v>
                </c:pt>
                <c:pt idx="4">
                  <c:v>1.0524413548375706</c:v>
                </c:pt>
                <c:pt idx="5">
                  <c:v>1.0619182485971845</c:v>
                </c:pt>
                <c:pt idx="6">
                  <c:v>0.94389870421798472</c:v>
                </c:pt>
                <c:pt idx="7">
                  <c:v>1.0690214909014535</c:v>
                </c:pt>
                <c:pt idx="8">
                  <c:v>0.9777246598710464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0-485A-BDE8-8988678A3099}"/>
            </c:ext>
          </c:extLst>
        </c:ser>
        <c:ser>
          <c:idx val="1"/>
          <c:order val="1"/>
          <c:tx>
            <c:strRef>
              <c:f>'Example 2'!$A$33</c:f>
              <c:strCache>
                <c:ptCount val="1"/>
                <c:pt idx="0">
                  <c:v>LDF Survival 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'Example 2'!$B$2:$P$2</c:f>
              <c:numCache>
                <c:formatCode>General</c:formatCode>
                <c:ptCount val="15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</c:numCache>
            </c:numRef>
          </c:cat>
          <c:val>
            <c:numRef>
              <c:f>'Example 2'!$B$54:$J$54</c:f>
              <c:numCache>
                <c:formatCode>_(* #,##0.000_);_(* \(#,##0.000\);_(* "-"??_);_(@_)</c:formatCode>
                <c:ptCount val="9"/>
                <c:pt idx="0">
                  <c:v>1.8258459273790315</c:v>
                </c:pt>
                <c:pt idx="1">
                  <c:v>1.2440255816659809</c:v>
                </c:pt>
                <c:pt idx="2">
                  <c:v>1.1294192410672006</c:v>
                </c:pt>
                <c:pt idx="3">
                  <c:v>1.0790691376525661</c:v>
                </c:pt>
                <c:pt idx="4">
                  <c:v>1.0502885158504212</c:v>
                </c:pt>
                <c:pt idx="5">
                  <c:v>1.0314557926985988</c:v>
                </c:pt>
                <c:pt idx="6">
                  <c:v>1.0180698476339016</c:v>
                </c:pt>
                <c:pt idx="7">
                  <c:v>1.0080083432212172</c:v>
                </c:pt>
                <c:pt idx="8">
                  <c:v>1.0001346832030382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0-485A-BDE8-8988678A3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60752"/>
        <c:axId val="326962448"/>
      </c:lineChart>
      <c:catAx>
        <c:axId val="1966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962448"/>
        <c:crosses val="autoZero"/>
        <c:auto val="1"/>
        <c:lblAlgn val="ctr"/>
        <c:lblOffset val="100"/>
        <c:noMultiLvlLbl val="0"/>
      </c:catAx>
      <c:valAx>
        <c:axId val="3269624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173036</xdr:colOff>
      <xdr:row>63</xdr:row>
      <xdr:rowOff>153987</xdr:rowOff>
    </xdr:from>
    <xdr:to>
      <xdr:col>15</xdr:col>
      <xdr:colOff>7938</xdr:colOff>
      <xdr:row>85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07FF7-0C0B-4284-B526-B45091038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88</xdr:row>
      <xdr:rowOff>0</xdr:rowOff>
    </xdr:from>
    <xdr:to>
      <xdr:col>14</xdr:col>
      <xdr:colOff>461964</xdr:colOff>
      <xdr:row>109</xdr:row>
      <xdr:rowOff>179388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FF7E82-C87E-4318-9EB0-AF4EBBEA3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173036</xdr:colOff>
      <xdr:row>63</xdr:row>
      <xdr:rowOff>153987</xdr:rowOff>
    </xdr:from>
    <xdr:to>
      <xdr:col>15</xdr:col>
      <xdr:colOff>7938</xdr:colOff>
      <xdr:row>85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7A711-DD3F-40F1-9BB0-52824F87C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88</xdr:row>
      <xdr:rowOff>0</xdr:rowOff>
    </xdr:from>
    <xdr:to>
      <xdr:col>14</xdr:col>
      <xdr:colOff>461964</xdr:colOff>
      <xdr:row>109</xdr:row>
      <xdr:rowOff>179388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D6E1D6-BB93-49CA-AFEC-4D7848BE0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914A-8E2A-4748-9C7B-BA3BA6166CC6}">
  <dimension ref="A1:AB62"/>
  <sheetViews>
    <sheetView tabSelected="1" zoomScale="80" zoomScaleNormal="80" workbookViewId="0">
      <selection activeCell="A15" sqref="A15"/>
    </sheetView>
  </sheetViews>
  <sheetFormatPr defaultRowHeight="14.5" x14ac:dyDescent="0.35"/>
  <cols>
    <col min="1" max="1" width="13.7265625" customWidth="1"/>
    <col min="2" max="2" width="11.54296875" customWidth="1"/>
    <col min="3" max="4" width="11.453125" bestFit="1" customWidth="1"/>
    <col min="5" max="5" width="11.54296875" bestFit="1" customWidth="1"/>
    <col min="6" max="6" width="11.453125" bestFit="1" customWidth="1"/>
    <col min="7" max="11" width="11.54296875" bestFit="1" customWidth="1"/>
    <col min="12" max="16" width="9" bestFit="1" customWidth="1"/>
  </cols>
  <sheetData>
    <row r="1" spans="1:28" x14ac:dyDescent="0.35">
      <c r="B1" s="1" t="s">
        <v>1</v>
      </c>
    </row>
    <row r="2" spans="1:28" x14ac:dyDescent="0.35">
      <c r="A2" s="1" t="s">
        <v>0</v>
      </c>
      <c r="B2" s="2">
        <v>12</v>
      </c>
      <c r="C2" s="2">
        <v>24</v>
      </c>
      <c r="D2" s="2">
        <v>36</v>
      </c>
      <c r="E2" s="2">
        <v>48</v>
      </c>
      <c r="F2" s="2">
        <v>60</v>
      </c>
      <c r="G2" s="2">
        <v>72</v>
      </c>
      <c r="H2" s="2">
        <v>84</v>
      </c>
      <c r="I2" s="2">
        <v>96</v>
      </c>
      <c r="J2" s="2">
        <v>108</v>
      </c>
      <c r="K2" s="2">
        <v>120</v>
      </c>
      <c r="L2" s="2">
        <v>132</v>
      </c>
      <c r="M2" s="2">
        <v>144</v>
      </c>
      <c r="N2" s="2">
        <v>156</v>
      </c>
      <c r="O2" s="2">
        <v>168</v>
      </c>
      <c r="P2" s="2">
        <v>180</v>
      </c>
      <c r="Q2" s="2">
        <v>192</v>
      </c>
      <c r="R2" s="2">
        <v>204</v>
      </c>
      <c r="S2" s="2">
        <v>216</v>
      </c>
      <c r="T2" s="2">
        <v>228</v>
      </c>
      <c r="U2" s="2">
        <v>240</v>
      </c>
      <c r="V2" s="2">
        <v>252</v>
      </c>
      <c r="W2" s="2">
        <v>264</v>
      </c>
      <c r="X2" s="2">
        <v>276</v>
      </c>
      <c r="Y2" s="2">
        <v>288</v>
      </c>
      <c r="Z2" s="2">
        <v>300</v>
      </c>
      <c r="AA2" s="2"/>
      <c r="AB2" s="2"/>
    </row>
    <row r="3" spans="1:28" x14ac:dyDescent="0.35">
      <c r="A3" s="2">
        <v>2012</v>
      </c>
    </row>
    <row r="4" spans="1:28" x14ac:dyDescent="0.35">
      <c r="A4" s="2">
        <v>2013</v>
      </c>
    </row>
    <row r="5" spans="1:28" x14ac:dyDescent="0.35">
      <c r="A5" s="2">
        <v>2014</v>
      </c>
    </row>
    <row r="6" spans="1:28" x14ac:dyDescent="0.35">
      <c r="A6" s="2">
        <v>2015</v>
      </c>
    </row>
    <row r="7" spans="1:28" x14ac:dyDescent="0.35">
      <c r="A7" s="2">
        <v>2016</v>
      </c>
    </row>
    <row r="8" spans="1:28" x14ac:dyDescent="0.35">
      <c r="A8" s="2">
        <v>2017</v>
      </c>
      <c r="B8" s="13">
        <v>7719</v>
      </c>
      <c r="C8" s="13">
        <v>17079</v>
      </c>
      <c r="D8" s="13">
        <v>32138</v>
      </c>
      <c r="E8" s="13">
        <v>55930</v>
      </c>
      <c r="F8" s="13">
        <v>75400</v>
      </c>
      <c r="G8" s="13">
        <v>99711</v>
      </c>
      <c r="H8" s="13">
        <v>113647</v>
      </c>
      <c r="I8" s="13">
        <v>104617</v>
      </c>
      <c r="J8" s="13">
        <v>110040</v>
      </c>
      <c r="K8" s="13">
        <v>110973</v>
      </c>
    </row>
    <row r="9" spans="1:28" x14ac:dyDescent="0.35">
      <c r="A9" s="2">
        <v>2018</v>
      </c>
      <c r="B9" s="13">
        <v>6387</v>
      </c>
      <c r="C9" s="13">
        <v>17842</v>
      </c>
      <c r="D9" s="13">
        <v>35429</v>
      </c>
      <c r="E9" s="13">
        <v>57222</v>
      </c>
      <c r="F9" s="13">
        <v>80791</v>
      </c>
      <c r="G9" s="13">
        <v>95150</v>
      </c>
      <c r="H9" s="13">
        <v>120432</v>
      </c>
      <c r="I9" s="13">
        <v>112450</v>
      </c>
      <c r="J9" s="13">
        <v>145953</v>
      </c>
      <c r="K9" s="13"/>
    </row>
    <row r="10" spans="1:28" x14ac:dyDescent="0.35">
      <c r="A10" s="2">
        <v>2019</v>
      </c>
      <c r="B10" s="13">
        <v>8347</v>
      </c>
      <c r="C10" s="13">
        <v>18022</v>
      </c>
      <c r="D10" s="13">
        <v>36758</v>
      </c>
      <c r="E10" s="13">
        <v>71537</v>
      </c>
      <c r="F10" s="13">
        <v>87621</v>
      </c>
      <c r="G10" s="13">
        <v>100813</v>
      </c>
      <c r="H10" s="13">
        <v>121789</v>
      </c>
      <c r="I10" s="13">
        <v>121255</v>
      </c>
      <c r="J10" s="13"/>
      <c r="K10" s="13"/>
    </row>
    <row r="11" spans="1:28" x14ac:dyDescent="0.35">
      <c r="A11" s="2">
        <v>2020</v>
      </c>
      <c r="B11" s="13">
        <v>7700</v>
      </c>
      <c r="C11" s="13">
        <v>21502</v>
      </c>
      <c r="D11" s="13">
        <v>43272</v>
      </c>
      <c r="E11" s="13">
        <v>64383</v>
      </c>
      <c r="F11" s="13">
        <v>78572</v>
      </c>
      <c r="G11" s="13">
        <v>93042</v>
      </c>
      <c r="H11" s="13">
        <v>134394</v>
      </c>
      <c r="I11" s="13"/>
      <c r="J11" s="13"/>
      <c r="K11" s="13"/>
    </row>
    <row r="12" spans="1:28" x14ac:dyDescent="0.35">
      <c r="A12" s="2">
        <v>2021</v>
      </c>
      <c r="B12" s="13">
        <v>8223</v>
      </c>
      <c r="C12" s="13">
        <v>23181</v>
      </c>
      <c r="D12" s="13">
        <v>37376</v>
      </c>
      <c r="E12" s="13">
        <v>67965</v>
      </c>
      <c r="F12" s="13">
        <v>72611</v>
      </c>
      <c r="G12" s="13">
        <v>76059</v>
      </c>
      <c r="H12" s="13"/>
      <c r="I12" s="13"/>
      <c r="J12" s="13"/>
      <c r="K12" s="13"/>
    </row>
    <row r="13" spans="1:28" x14ac:dyDescent="0.35">
      <c r="A13" s="2">
        <v>2022</v>
      </c>
      <c r="B13" s="13">
        <v>12122</v>
      </c>
      <c r="C13" s="13">
        <v>26156</v>
      </c>
      <c r="D13" s="13">
        <v>48834</v>
      </c>
      <c r="E13" s="13">
        <v>82909</v>
      </c>
      <c r="F13" s="13">
        <v>94462</v>
      </c>
      <c r="G13" s="13"/>
      <c r="H13" s="13"/>
      <c r="I13" s="13"/>
      <c r="J13" s="13"/>
      <c r="K13" s="13"/>
    </row>
    <row r="14" spans="1:28" x14ac:dyDescent="0.35">
      <c r="A14" s="2">
        <v>2023</v>
      </c>
      <c r="B14" s="13">
        <v>7596</v>
      </c>
      <c r="C14" s="13">
        <v>19404</v>
      </c>
      <c r="D14" s="13">
        <v>65507</v>
      </c>
      <c r="E14" s="13">
        <v>111264</v>
      </c>
      <c r="F14" s="13"/>
      <c r="G14" s="13"/>
      <c r="H14" s="13"/>
      <c r="I14" s="13"/>
      <c r="J14" s="13"/>
      <c r="K14" s="13"/>
    </row>
    <row r="15" spans="1:28" x14ac:dyDescent="0.35">
      <c r="A15" s="2">
        <v>2024</v>
      </c>
      <c r="B15" s="13">
        <v>10264</v>
      </c>
      <c r="C15" s="13">
        <v>44816</v>
      </c>
      <c r="D15" s="13">
        <v>62018</v>
      </c>
      <c r="E15" s="13"/>
      <c r="F15" s="13"/>
      <c r="G15" s="13"/>
      <c r="H15" s="13"/>
      <c r="I15" s="13"/>
      <c r="J15" s="13"/>
      <c r="K15" s="13"/>
    </row>
    <row r="16" spans="1:28" x14ac:dyDescent="0.35">
      <c r="A16" s="2">
        <v>2025</v>
      </c>
      <c r="B16" s="13">
        <v>20162</v>
      </c>
      <c r="C16" s="13">
        <v>28107</v>
      </c>
      <c r="D16" s="13"/>
      <c r="E16" s="13"/>
      <c r="F16" s="13"/>
      <c r="G16" s="13"/>
      <c r="H16" s="13"/>
      <c r="I16" s="13"/>
      <c r="J16" s="13"/>
      <c r="K16" s="13"/>
    </row>
    <row r="17" spans="1:17" x14ac:dyDescent="0.35">
      <c r="A17" s="2">
        <v>2026</v>
      </c>
      <c r="B17" s="13">
        <v>10682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7" x14ac:dyDescent="0.35">
      <c r="A18" s="2"/>
    </row>
    <row r="19" spans="1:17" x14ac:dyDescent="0.35">
      <c r="B19" s="2">
        <v>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</row>
    <row r="20" spans="1:17" x14ac:dyDescent="0.35">
      <c r="A20" t="s">
        <v>14</v>
      </c>
      <c r="B20" s="4">
        <f ca="1">SUM(OFFSET(C13:C17,-B19-1,0))/SUM(OFFSET(B13:B17,-B19-1,0))</f>
        <v>2.4271249164767763</v>
      </c>
      <c r="C20" s="4">
        <f t="shared" ref="C20:J20" ca="1" si="0">SUM(OFFSET(D13:D17,-C19-1,0))/SUM(OFFSET(C13:C17,-C19-1,0))</f>
        <v>1.9029239073293893</v>
      </c>
      <c r="D20" s="4">
        <f t="shared" ca="1" si="0"/>
        <v>1.7176403578039845</v>
      </c>
      <c r="E20" s="4">
        <f t="shared" ca="1" si="0"/>
        <v>1.2035980884610018</v>
      </c>
      <c r="F20" s="4">
        <f t="shared" ca="1" si="0"/>
        <v>1.176660464056507</v>
      </c>
      <c r="G20" s="4">
        <f t="shared" ca="1" si="0"/>
        <v>1.2612344230749442</v>
      </c>
      <c r="H20" s="4">
        <f t="shared" ca="1" si="0"/>
        <v>0.95069520159160137</v>
      </c>
      <c r="I20" s="4">
        <f t="shared" ca="1" si="0"/>
        <v>1.1793271201979112</v>
      </c>
      <c r="J20" s="4">
        <f t="shared" ca="1" si="0"/>
        <v>1.0084787350054525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5"/>
    </row>
    <row r="21" spans="1:17" x14ac:dyDescent="0.35">
      <c r="A21" t="s">
        <v>15</v>
      </c>
      <c r="B21" s="4">
        <f ca="1">B20*C21</f>
        <v>16.02199477580378</v>
      </c>
      <c r="C21" s="4">
        <f t="shared" ref="C21:P21" ca="1" si="1">C20*D21</f>
        <v>6.6012238047728378</v>
      </c>
      <c r="D21" s="4">
        <f t="shared" ca="1" si="1"/>
        <v>3.4689898946286082</v>
      </c>
      <c r="E21" s="4">
        <f t="shared" ca="1" si="1"/>
        <v>2.0196252835277675</v>
      </c>
      <c r="F21" s="4">
        <f t="shared" ca="1" si="1"/>
        <v>1.6779897732391638</v>
      </c>
      <c r="G21" s="4">
        <f t="shared" ca="1" si="1"/>
        <v>1.4260611489013038</v>
      </c>
      <c r="H21" s="4">
        <f t="shared" ca="1" si="1"/>
        <v>1.1306868277702926</v>
      </c>
      <c r="I21" s="4">
        <f t="shared" ca="1" si="1"/>
        <v>1.1893263223348127</v>
      </c>
      <c r="J21" s="4">
        <f t="shared" ca="1" si="1"/>
        <v>1.0084787350054525</v>
      </c>
      <c r="K21" s="4">
        <f t="shared" si="1"/>
        <v>1</v>
      </c>
      <c r="L21" s="4">
        <f t="shared" si="1"/>
        <v>1</v>
      </c>
      <c r="M21" s="4">
        <f t="shared" si="1"/>
        <v>1</v>
      </c>
      <c r="N21" s="4">
        <f t="shared" si="1"/>
        <v>1</v>
      </c>
      <c r="O21" s="4">
        <f t="shared" si="1"/>
        <v>1</v>
      </c>
      <c r="P21" s="4">
        <f t="shared" si="1"/>
        <v>1</v>
      </c>
      <c r="Q21" s="4">
        <v>1</v>
      </c>
    </row>
    <row r="22" spans="1:17" x14ac:dyDescent="0.35">
      <c r="Q22" s="2"/>
    </row>
    <row r="23" spans="1:17" x14ac:dyDescent="0.35">
      <c r="A23" t="s">
        <v>4</v>
      </c>
      <c r="B23" s="13">
        <f t="shared" ref="B23:K23" ca="1" si="2">SUM(OFFSET(C13:C17,-C19,0))-SUM(OFFSET(B13:B17,-C19,0))</f>
        <v>83297</v>
      </c>
      <c r="C23" s="13">
        <f t="shared" ca="1" si="2"/>
        <v>121948</v>
      </c>
      <c r="D23" s="13">
        <f t="shared" ca="1" si="2"/>
        <v>166311</v>
      </c>
      <c r="E23" s="13">
        <f t="shared" ca="1" si="2"/>
        <v>70041</v>
      </c>
      <c r="F23" s="13">
        <f t="shared" ca="1" si="2"/>
        <v>69780</v>
      </c>
      <c r="G23" s="13">
        <f t="shared" ca="1" si="2"/>
        <v>101546</v>
      </c>
      <c r="H23" s="13">
        <f t="shared" ca="1" si="2"/>
        <v>-17546</v>
      </c>
      <c r="I23" s="13">
        <f t="shared" ca="1" si="2"/>
        <v>38926</v>
      </c>
      <c r="J23" s="13">
        <f t="shared" ca="1" si="2"/>
        <v>933</v>
      </c>
      <c r="K23" s="13">
        <f t="shared" ca="1" si="2"/>
        <v>0</v>
      </c>
      <c r="L23" s="14">
        <f>SUM(M3:M6)-SUM(L3:L6)</f>
        <v>0</v>
      </c>
      <c r="M23" s="14">
        <f>SUM(N3:N5)-SUM(M3:M5)</f>
        <v>0</v>
      </c>
      <c r="N23" s="14">
        <f>SUM(O3:O4)-SUM(N3:N4)</f>
        <v>0</v>
      </c>
      <c r="O23" s="14">
        <f>SUM(P3:P4)-SUM(O3:O4)</f>
        <v>0</v>
      </c>
      <c r="P23" s="14">
        <f>SUM(Q3)-SUM(P3)</f>
        <v>0</v>
      </c>
    </row>
    <row r="24" spans="1:17" x14ac:dyDescent="0.35">
      <c r="A24" t="s">
        <v>5</v>
      </c>
      <c r="B24" s="13">
        <f t="shared" ref="B24:K24" ca="1" si="3">SUM(OFFSET(C13:C17,-C19,0))</f>
        <v>141664</v>
      </c>
      <c r="C24" s="13">
        <f t="shared" ca="1" si="3"/>
        <v>257007</v>
      </c>
      <c r="D24" s="13">
        <f t="shared" ca="1" si="3"/>
        <v>398058</v>
      </c>
      <c r="E24" s="13">
        <f t="shared" ca="1" si="3"/>
        <v>414057</v>
      </c>
      <c r="F24" s="13">
        <f t="shared" ca="1" si="3"/>
        <v>464775</v>
      </c>
      <c r="G24" s="13">
        <f t="shared" ca="1" si="3"/>
        <v>490262</v>
      </c>
      <c r="H24" s="13">
        <f t="shared" ca="1" si="3"/>
        <v>338322</v>
      </c>
      <c r="I24" s="13">
        <f t="shared" ca="1" si="3"/>
        <v>255993</v>
      </c>
      <c r="J24" s="13">
        <f t="shared" ca="1" si="3"/>
        <v>110973</v>
      </c>
      <c r="K24" s="13">
        <f t="shared" ca="1" si="3"/>
        <v>0</v>
      </c>
      <c r="L24" s="14">
        <f>SUM(M3:M6)</f>
        <v>0</v>
      </c>
      <c r="M24" s="14">
        <f>SUM(N3:N6)</f>
        <v>0</v>
      </c>
      <c r="N24" s="14">
        <f>SUM(O3:O6)</f>
        <v>0</v>
      </c>
      <c r="O24" s="14">
        <f>SUM(P3:P6)</f>
        <v>0</v>
      </c>
      <c r="P24" s="14">
        <f>SUM(Q3:Q6)</f>
        <v>0</v>
      </c>
    </row>
    <row r="25" spans="1:17" x14ac:dyDescent="0.35">
      <c r="A25" t="s">
        <v>7</v>
      </c>
      <c r="B25" s="3">
        <f ca="1">IF(B24=0,0,B23/B24)</f>
        <v>0.5879898915744296</v>
      </c>
      <c r="C25" s="3">
        <f t="shared" ref="C25:P25" ca="1" si="4">IF(C24=0,0,C23/C24)</f>
        <v>0.47449291264440269</v>
      </c>
      <c r="D25" s="3">
        <f t="shared" ca="1" si="4"/>
        <v>0.41780594787694253</v>
      </c>
      <c r="E25" s="3">
        <f t="shared" ca="1" si="4"/>
        <v>0.16915786956868256</v>
      </c>
      <c r="F25" s="3">
        <f t="shared" ca="1" si="4"/>
        <v>0.15013716314345651</v>
      </c>
      <c r="G25" s="3">
        <f t="shared" ca="1" si="4"/>
        <v>0.20712598569744342</v>
      </c>
      <c r="H25" s="3">
        <f t="shared" ca="1" si="4"/>
        <v>-5.1861835765927136E-2</v>
      </c>
      <c r="I25" s="3">
        <f t="shared" ca="1" si="4"/>
        <v>0.15205884535905279</v>
      </c>
      <c r="J25" s="3">
        <f t="shared" ca="1" si="4"/>
        <v>8.4074504609229269E-3</v>
      </c>
      <c r="K25" s="3">
        <f t="shared" ca="1" si="4"/>
        <v>0</v>
      </c>
      <c r="L25" s="3">
        <f t="shared" si="4"/>
        <v>0</v>
      </c>
      <c r="M25" s="3">
        <f t="shared" si="4"/>
        <v>0</v>
      </c>
      <c r="N25" s="3">
        <f t="shared" si="4"/>
        <v>0</v>
      </c>
      <c r="O25" s="3">
        <f t="shared" si="4"/>
        <v>0</v>
      </c>
      <c r="P25" s="3">
        <f t="shared" si="4"/>
        <v>0</v>
      </c>
      <c r="Q25" s="3"/>
    </row>
    <row r="26" spans="1:17" hidden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idden="1" x14ac:dyDescent="0.35">
      <c r="A27" t="s">
        <v>6</v>
      </c>
      <c r="B27" s="6">
        <f ca="1">C27*(1-B25)</f>
        <v>6.2414200852829373E-2</v>
      </c>
      <c r="C27" s="6">
        <f t="shared" ref="C27:P27" ca="1" si="5">D27*(1-C25)</f>
        <v>0.15148706203188822</v>
      </c>
      <c r="D27" s="6">
        <f t="shared" ca="1" si="5"/>
        <v>0.2882683519915703</v>
      </c>
      <c r="E27" s="6">
        <f t="shared" ca="1" si="5"/>
        <v>0.49514135525836567</v>
      </c>
      <c r="F27" s="6">
        <f t="shared" ca="1" si="5"/>
        <v>0.59595118870695873</v>
      </c>
      <c r="G27" s="6">
        <f t="shared" ca="1" si="5"/>
        <v>0.70123220225895699</v>
      </c>
      <c r="H27" s="6">
        <f t="shared" ca="1" si="5"/>
        <v>0.88441819205764827</v>
      </c>
      <c r="I27" s="6">
        <f t="shared" ca="1" si="5"/>
        <v>0.8408121313895256</v>
      </c>
      <c r="J27" s="6">
        <f t="shared" ca="1" si="5"/>
        <v>0.99159254953907705</v>
      </c>
      <c r="K27" s="6">
        <f t="shared" ca="1" si="5"/>
        <v>1</v>
      </c>
      <c r="L27" s="6">
        <f t="shared" si="5"/>
        <v>1</v>
      </c>
      <c r="M27" s="6">
        <f t="shared" si="5"/>
        <v>1</v>
      </c>
      <c r="N27" s="6">
        <f t="shared" si="5"/>
        <v>1</v>
      </c>
      <c r="O27" s="6">
        <f t="shared" si="5"/>
        <v>1</v>
      </c>
      <c r="P27" s="6">
        <f t="shared" si="5"/>
        <v>1</v>
      </c>
      <c r="Q27" s="6">
        <v>1</v>
      </c>
    </row>
    <row r="28" spans="1:17" hidden="1" x14ac:dyDescent="0.35">
      <c r="A28" t="s">
        <v>14</v>
      </c>
      <c r="B28" s="4">
        <f ca="1">1/B27</f>
        <v>16.02199477580378</v>
      </c>
      <c r="C28" s="4">
        <f t="shared" ref="C28:Q28" ca="1" si="6">1/C27</f>
        <v>6.6012238047728378</v>
      </c>
      <c r="D28" s="4">
        <f t="shared" ca="1" si="6"/>
        <v>3.4689898946286082</v>
      </c>
      <c r="E28" s="4">
        <f t="shared" ca="1" si="6"/>
        <v>2.0196252835277679</v>
      </c>
      <c r="F28" s="4">
        <f t="shared" ca="1" si="6"/>
        <v>1.6779897732391642</v>
      </c>
      <c r="G28" s="4">
        <f t="shared" ca="1" si="6"/>
        <v>1.4260611489013042</v>
      </c>
      <c r="H28" s="4">
        <f t="shared" ca="1" si="6"/>
        <v>1.1306868277702928</v>
      </c>
      <c r="I28" s="4">
        <f t="shared" ca="1" si="6"/>
        <v>1.1893263223348129</v>
      </c>
      <c r="J28" s="4">
        <f t="shared" ca="1" si="6"/>
        <v>1.0084787350054525</v>
      </c>
      <c r="K28" s="4">
        <f t="shared" ca="1" si="6"/>
        <v>1</v>
      </c>
      <c r="L28" s="4">
        <f t="shared" si="6"/>
        <v>1</v>
      </c>
      <c r="M28" s="4">
        <f t="shared" si="6"/>
        <v>1</v>
      </c>
      <c r="N28" s="4">
        <f t="shared" si="6"/>
        <v>1</v>
      </c>
      <c r="O28" s="4">
        <f t="shared" si="6"/>
        <v>1</v>
      </c>
      <c r="P28" s="4">
        <f t="shared" si="6"/>
        <v>1</v>
      </c>
      <c r="Q28" s="4">
        <f t="shared" si="6"/>
        <v>1</v>
      </c>
    </row>
    <row r="29" spans="1:17" hidden="1" x14ac:dyDescent="0.35">
      <c r="A29" t="s">
        <v>15</v>
      </c>
      <c r="B29" s="4">
        <f ca="1">B28/C28</f>
        <v>2.4271249164767759</v>
      </c>
      <c r="C29" s="4">
        <f t="shared" ref="C29:P29" ca="1" si="7">C28/D28</f>
        <v>1.9029239073293893</v>
      </c>
      <c r="D29" s="4">
        <f t="shared" ca="1" si="7"/>
        <v>1.7176403578039841</v>
      </c>
      <c r="E29" s="4">
        <f t="shared" ca="1" si="7"/>
        <v>1.2035980884610018</v>
      </c>
      <c r="F29" s="4">
        <f t="shared" ca="1" si="7"/>
        <v>1.176660464056507</v>
      </c>
      <c r="G29" s="4">
        <f t="shared" ca="1" si="7"/>
        <v>1.2612344230749444</v>
      </c>
      <c r="H29" s="4">
        <f t="shared" ca="1" si="7"/>
        <v>0.95069520159160137</v>
      </c>
      <c r="I29" s="4">
        <f t="shared" ca="1" si="7"/>
        <v>1.1793271201979114</v>
      </c>
      <c r="J29" s="4">
        <f t="shared" ca="1" si="7"/>
        <v>1.0084787350054525</v>
      </c>
      <c r="K29" s="4">
        <f t="shared" ca="1" si="7"/>
        <v>1</v>
      </c>
      <c r="L29" s="4">
        <f t="shared" si="7"/>
        <v>1</v>
      </c>
      <c r="M29" s="4">
        <f t="shared" si="7"/>
        <v>1</v>
      </c>
      <c r="N29" s="4">
        <f t="shared" si="7"/>
        <v>1</v>
      </c>
      <c r="O29" s="4">
        <f t="shared" si="7"/>
        <v>1</v>
      </c>
      <c r="P29" s="4">
        <f t="shared" si="7"/>
        <v>1</v>
      </c>
    </row>
    <row r="30" spans="1:17" hidden="1" x14ac:dyDescent="0.35">
      <c r="B30" t="b">
        <f ca="1">B29=B20</f>
        <v>1</v>
      </c>
      <c r="C30" t="b">
        <f t="shared" ref="C30:P30" ca="1" si="8">C29=C20</f>
        <v>1</v>
      </c>
      <c r="D30" t="b">
        <f t="shared" ca="1" si="8"/>
        <v>1</v>
      </c>
      <c r="E30" t="b">
        <f t="shared" ca="1" si="8"/>
        <v>1</v>
      </c>
      <c r="F30" t="b">
        <f t="shared" ca="1" si="8"/>
        <v>1</v>
      </c>
      <c r="G30" t="b">
        <f t="shared" ca="1" si="8"/>
        <v>1</v>
      </c>
      <c r="H30" t="b">
        <f t="shared" ca="1" si="8"/>
        <v>1</v>
      </c>
      <c r="I30" t="b">
        <f t="shared" ca="1" si="8"/>
        <v>1</v>
      </c>
      <c r="J30" t="b">
        <f t="shared" ca="1" si="8"/>
        <v>1</v>
      </c>
      <c r="K30" t="b">
        <f t="shared" ca="1" si="8"/>
        <v>1</v>
      </c>
      <c r="L30" t="b">
        <f t="shared" si="8"/>
        <v>1</v>
      </c>
      <c r="M30" t="b">
        <f t="shared" si="8"/>
        <v>1</v>
      </c>
      <c r="N30" t="b">
        <f t="shared" si="8"/>
        <v>1</v>
      </c>
      <c r="O30" t="b">
        <f t="shared" si="8"/>
        <v>1</v>
      </c>
      <c r="P30" t="b">
        <f t="shared" si="8"/>
        <v>1</v>
      </c>
    </row>
    <row r="33" spans="1:26" x14ac:dyDescent="0.35">
      <c r="A33" s="1" t="s">
        <v>18</v>
      </c>
    </row>
    <row r="35" spans="1:26" x14ac:dyDescent="0.35">
      <c r="A35" t="s">
        <v>9</v>
      </c>
      <c r="B35" s="13">
        <f ca="1">B24*LN(B2)^1.67/1000</f>
        <v>647.77969550179216</v>
      </c>
      <c r="C35" s="13">
        <f t="shared" ref="C35:P35" ca="1" si="9">C24*LN(C2)^1.67/1000</f>
        <v>1772.3693789563176</v>
      </c>
      <c r="D35" s="13">
        <f t="shared" ca="1" si="9"/>
        <v>3354.6217797835648</v>
      </c>
      <c r="E35" s="13">
        <f t="shared" ca="1" si="9"/>
        <v>3969.7438792360731</v>
      </c>
      <c r="F35" s="13">
        <f t="shared" ca="1" si="9"/>
        <v>4893.1743199659668</v>
      </c>
      <c r="G35" s="13">
        <f t="shared" ca="1" si="9"/>
        <v>5551.0374903250449</v>
      </c>
      <c r="H35" s="13">
        <f t="shared" ca="1" si="9"/>
        <v>4064.0418810611654</v>
      </c>
      <c r="I35" s="13">
        <f t="shared" ca="1" si="9"/>
        <v>3231.3993337594065</v>
      </c>
      <c r="J35" s="13">
        <f t="shared" ca="1" si="9"/>
        <v>1461.699532320823</v>
      </c>
      <c r="K35" s="13">
        <f t="shared" ca="1" si="9"/>
        <v>0</v>
      </c>
      <c r="L35" s="13">
        <f t="shared" si="9"/>
        <v>0</v>
      </c>
      <c r="M35" s="13">
        <f t="shared" si="9"/>
        <v>0</v>
      </c>
      <c r="N35" s="13">
        <f t="shared" si="9"/>
        <v>0</v>
      </c>
      <c r="O35" s="13">
        <f t="shared" si="9"/>
        <v>0</v>
      </c>
      <c r="P35" s="13">
        <f t="shared" si="9"/>
        <v>0</v>
      </c>
    </row>
    <row r="36" spans="1:26" x14ac:dyDescent="0.35">
      <c r="A36" t="s">
        <v>12</v>
      </c>
      <c r="B36" s="4">
        <f>1/LN(B2)</f>
        <v>0.40242960438184466</v>
      </c>
      <c r="C36" s="4">
        <f t="shared" ref="C36:Z36" si="10">1/LN(C2)</f>
        <v>0.31465798044412485</v>
      </c>
      <c r="D36" s="4">
        <f t="shared" si="10"/>
        <v>0.27905531327562361</v>
      </c>
      <c r="E36" s="4">
        <f t="shared" si="10"/>
        <v>0.25831776680732876</v>
      </c>
      <c r="F36" s="4">
        <f t="shared" si="10"/>
        <v>0.24423933667597231</v>
      </c>
      <c r="G36" s="4">
        <f t="shared" si="10"/>
        <v>0.23382699798647663</v>
      </c>
      <c r="H36" s="4">
        <f t="shared" si="10"/>
        <v>0.22569202144874392</v>
      </c>
      <c r="I36" s="4">
        <f t="shared" si="10"/>
        <v>0.21908933281411486</v>
      </c>
      <c r="J36" s="4">
        <f t="shared" si="10"/>
        <v>0.21357795232369067</v>
      </c>
      <c r="K36" s="4">
        <f t="shared" si="10"/>
        <v>0.20887764485602911</v>
      </c>
      <c r="L36" s="4">
        <f t="shared" si="10"/>
        <v>0.20480044364984401</v>
      </c>
      <c r="M36" s="4">
        <f t="shared" si="10"/>
        <v>0.20121480219092233</v>
      </c>
      <c r="N36" s="4">
        <f t="shared" si="10"/>
        <v>0.19802544836217253</v>
      </c>
      <c r="O36" s="4">
        <f t="shared" si="10"/>
        <v>0.19516140316748692</v>
      </c>
      <c r="P36" s="4">
        <f t="shared" si="10"/>
        <v>0.19256851707299927</v>
      </c>
      <c r="Q36" s="4">
        <f t="shared" si="10"/>
        <v>0.19020463723476499</v>
      </c>
      <c r="R36" s="4">
        <f t="shared" si="10"/>
        <v>0.18803637397379361</v>
      </c>
      <c r="S36" s="4">
        <f t="shared" si="10"/>
        <v>0.1860368755170824</v>
      </c>
      <c r="T36" s="4">
        <f t="shared" si="10"/>
        <v>0.18418425871932848</v>
      </c>
      <c r="U36" s="4">
        <f t="shared" si="10"/>
        <v>0.18246047841995375</v>
      </c>
      <c r="V36" s="4">
        <f t="shared" si="10"/>
        <v>0.18085049725270286</v>
      </c>
      <c r="W36" s="4">
        <f t="shared" si="10"/>
        <v>0.17934166569700832</v>
      </c>
      <c r="X36" s="4">
        <f t="shared" si="10"/>
        <v>0.17792325207614929</v>
      </c>
      <c r="Y36" s="4">
        <f t="shared" si="10"/>
        <v>0.17658608134521075</v>
      </c>
      <c r="Z36" s="4">
        <f t="shared" si="10"/>
        <v>0.17532225403814608</v>
      </c>
    </row>
    <row r="37" spans="1:26" x14ac:dyDescent="0.35">
      <c r="A37" t="s">
        <v>16</v>
      </c>
      <c r="B37" s="4">
        <f>VLOOKUP(B2,splines!$A$2:$C$301,2,FALSE)</f>
        <v>0.34079527910000001</v>
      </c>
      <c r="C37" s="4">
        <f>VLOOKUP(C2,splines!$A$2:$C$301,2,FALSE)</f>
        <v>0.23191252109999999</v>
      </c>
      <c r="D37" s="4">
        <f>VLOOKUP(D2,splines!$A$2:$C$301,2,FALSE)</f>
        <v>0.17974197580000001</v>
      </c>
      <c r="E37" s="4">
        <f>VLOOKUP(E2,splines!$A$2:$C$301,2,FALSE)</f>
        <v>0.14713285910000001</v>
      </c>
      <c r="F37" s="4">
        <f>VLOOKUP(F2,splines!$A$2:$C$301,2,FALSE)</f>
        <v>0.12404424</v>
      </c>
      <c r="G37" s="4">
        <f>VLOOKUP(G2,splines!$A$2:$C$301,2,FALSE)</f>
        <v>0.106467069</v>
      </c>
      <c r="H37" s="4">
        <f>VLOOKUP(H2,splines!$A$2:$C$301,2,FALSE)</f>
        <v>9.2435246900000004E-2</v>
      </c>
      <c r="I37" s="4">
        <f>VLOOKUP(I2,splines!$A$2:$C$301,2,FALSE)</f>
        <v>8.0852201200000001E-2</v>
      </c>
      <c r="J37" s="4">
        <f>VLOOKUP(J2,splines!$A$2:$C$301,2,FALSE)</f>
        <v>7.1049624500000005E-2</v>
      </c>
      <c r="K37" s="4">
        <f>VLOOKUP(K2,splines!$A$2:$C$301,2,FALSE)</f>
        <v>6.2592849300000003E-2</v>
      </c>
      <c r="L37" s="4">
        <f>VLOOKUP(L2,splines!$A$2:$C$301,2,FALSE)</f>
        <v>5.5184726199999999E-2</v>
      </c>
      <c r="M37" s="4">
        <f>VLOOKUP(M2,splines!$A$2:$C$301,2,FALSE)</f>
        <v>4.8613948300000001E-2</v>
      </c>
      <c r="N37" s="4">
        <f>VLOOKUP(N2,splines!$A$2:$C$301,2,FALSE)</f>
        <v>4.2725427900000001E-2</v>
      </c>
      <c r="O37" s="4">
        <f>VLOOKUP(O2,splines!$A$2:$C$301,2,FALSE)</f>
        <v>3.7404070800000001E-2</v>
      </c>
      <c r="P37" s="4">
        <f>VLOOKUP(P2,splines!$A$2:$C$301,2,FALSE)</f>
        <v>3.2562542E-2</v>
      </c>
      <c r="Q37" s="4">
        <f>VLOOKUP(Q2,splines!$A$2:$C$301,2,FALSE)</f>
        <v>2.81313599E-2</v>
      </c>
      <c r="R37" s="4">
        <f>VLOOKUP(R2,splines!$A$2:$C$301,2,FALSE)</f>
        <v>2.4054376299999999E-2</v>
      </c>
      <c r="S37" s="4">
        <f>VLOOKUP(S2,splines!$A$2:$C$301,2,FALSE)</f>
        <v>2.0285670499999998E-2</v>
      </c>
      <c r="T37" s="4">
        <f>VLOOKUP(T2,splines!$A$2:$C$301,2,FALSE)</f>
        <v>1.6787278199999998E-2</v>
      </c>
      <c r="U37" s="4">
        <f>VLOOKUP(U2,splines!$A$2:$C$301,2,FALSE)</f>
        <v>1.3527505800000001E-2</v>
      </c>
      <c r="V37" s="4">
        <f>VLOOKUP(V2,splines!$A$2:$C$301,2,FALSE)</f>
        <v>1.04796587E-2</v>
      </c>
      <c r="W37" s="4">
        <f>VLOOKUP(W2,splines!$A$2:$C$301,2,FALSE)</f>
        <v>7.6210714999999998E-3</v>
      </c>
      <c r="X37" s="4">
        <f>VLOOKUP(X2,splines!$A$2:$C$301,2,FALSE)</f>
        <v>4.9323574000000002E-3</v>
      </c>
      <c r="Y37" s="4">
        <f>VLOOKUP(Y2,splines!$A$2:$C$301,2,FALSE)</f>
        <v>2.3968220999999999E-3</v>
      </c>
      <c r="Z37" s="4">
        <f>VLOOKUP(Z2,splines!$A$2:$C$301,2,FALSE)</f>
        <v>0</v>
      </c>
    </row>
    <row r="38" spans="1:26" x14ac:dyDescent="0.35">
      <c r="A38" t="s">
        <v>17</v>
      </c>
      <c r="B38" s="4">
        <f>VLOOKUP(B2,splines!$A$2:$C$301,3,FALSE)</f>
        <v>-0.13047259999999999</v>
      </c>
      <c r="C38" s="4">
        <f>VLOOKUP(C2,splines!$A$2:$C$301,3,FALSE)</f>
        <v>-0.1021188</v>
      </c>
      <c r="D38" s="4">
        <f>VLOOKUP(D2,splines!$A$2:$C$301,3,FALSE)</f>
        <v>-8.2878170000000001E-2</v>
      </c>
      <c r="E38" s="4">
        <f>VLOOKUP(E2,splines!$A$2:$C$301,3,FALSE)</f>
        <v>-6.952332E-2</v>
      </c>
      <c r="F38" s="4">
        <f>VLOOKUP(F2,splines!$A$2:$C$301,3,FALSE)</f>
        <v>-5.9537619999999999E-2</v>
      </c>
      <c r="G38" s="4">
        <f>VLOOKUP(G2,splines!$A$2:$C$301,3,FALSE)</f>
        <v>-5.1667900000000003E-2</v>
      </c>
      <c r="H38" s="4">
        <f>VLOOKUP(H2,splines!$A$2:$C$301,3,FALSE)</f>
        <v>-4.5230230000000003E-2</v>
      </c>
      <c r="I38" s="4">
        <f>VLOOKUP(I2,splines!$A$2:$C$301,3,FALSE)</f>
        <v>-3.9817350000000001E-2</v>
      </c>
      <c r="J38" s="4">
        <f>VLOOKUP(J2,splines!$A$2:$C$301,3,FALSE)</f>
        <v>-3.5169560000000002E-2</v>
      </c>
      <c r="K38" s="4">
        <f>VLOOKUP(K2,splines!$A$2:$C$301,3,FALSE)</f>
        <v>-3.111218E-2</v>
      </c>
      <c r="L38" s="4">
        <f>VLOOKUP(L2,splines!$A$2:$C$301,3,FALSE)</f>
        <v>-2.7522629999999999E-2</v>
      </c>
      <c r="M38" s="4">
        <f>VLOOKUP(M2,splines!$A$2:$C$301,3,FALSE)</f>
        <v>-2.4311900000000001E-2</v>
      </c>
      <c r="N38" s="4">
        <f>VLOOKUP(N2,splines!$A$2:$C$301,3,FALSE)</f>
        <v>-2.1413519999999998E-2</v>
      </c>
      <c r="O38" s="4">
        <f>VLOOKUP(O2,splines!$A$2:$C$301,3,FALSE)</f>
        <v>-1.8778429999999999E-2</v>
      </c>
      <c r="P38" s="4">
        <f>VLOOKUP(P2,splines!$A$2:$C$301,3,FALSE)</f>
        <v>-1.636963E-2</v>
      </c>
      <c r="Q38" s="4">
        <f>VLOOKUP(Q2,splines!$A$2:$C$301,3,FALSE)</f>
        <v>-1.415689E-2</v>
      </c>
      <c r="R38" s="4">
        <f>VLOOKUP(R2,splines!$A$2:$C$301,3,FALSE)</f>
        <v>-1.211518E-2</v>
      </c>
      <c r="S38" s="4">
        <f>VLOOKUP(S2,splines!$A$2:$C$301,3,FALSE)</f>
        <v>-1.0223629999999999E-2</v>
      </c>
      <c r="T38" s="4">
        <f>VLOOKUP(T2,splines!$A$2:$C$301,3,FALSE)</f>
        <v>-8.4647179999999995E-3</v>
      </c>
      <c r="U38" s="4">
        <f>VLOOKUP(U2,splines!$A$2:$C$301,3,FALSE)</f>
        <v>-6.8236119999999997E-3</v>
      </c>
      <c r="V38" s="4">
        <f>VLOOKUP(V2,splines!$A$2:$C$301,3,FALSE)</f>
        <v>-5.2876800000000003E-3</v>
      </c>
      <c r="W38" s="4">
        <f>VLOOKUP(W2,splines!$A$2:$C$301,3,FALSE)</f>
        <v>-3.8460930000000001E-3</v>
      </c>
      <c r="X38" s="4">
        <f>VLOOKUP(X2,splines!$A$2:$C$301,3,FALSE)</f>
        <v>-2.4895109999999998E-3</v>
      </c>
      <c r="Y38" s="4">
        <f>VLOOKUP(Y2,splines!$A$2:$C$301,3,FALSE)</f>
        <v>-1.209835E-3</v>
      </c>
      <c r="Z38" s="4">
        <f>VLOOKUP(Z2,splines!$A$2:$C$301,3,FALSE)</f>
        <v>0</v>
      </c>
    </row>
    <row r="40" spans="1:26" x14ac:dyDescent="0.35">
      <c r="A40" s="9" t="s">
        <v>13</v>
      </c>
    </row>
    <row r="41" spans="1:26" x14ac:dyDescent="0.35">
      <c r="A41" t="s">
        <v>7</v>
      </c>
      <c r="B41" s="4">
        <f t="shared" ref="B41" ca="1" si="11">B25*B35^0.5</f>
        <v>14.965234465959577</v>
      </c>
      <c r="C41" s="4">
        <f ca="1">C25*C35^0.5</f>
        <v>19.975922708935432</v>
      </c>
      <c r="D41" s="4">
        <f t="shared" ref="D41:P41" ca="1" si="12">D25*D35^0.5</f>
        <v>24.198943159099745</v>
      </c>
      <c r="E41" s="4">
        <f t="shared" ca="1" si="12"/>
        <v>10.657944410853693</v>
      </c>
      <c r="F41" s="4">
        <f t="shared" ca="1" si="12"/>
        <v>10.502278953134255</v>
      </c>
      <c r="G41" s="4">
        <f t="shared" ca="1" si="12"/>
        <v>15.431980591671334</v>
      </c>
      <c r="H41" s="4">
        <f t="shared" ca="1" si="12"/>
        <v>-3.3061836431180445</v>
      </c>
      <c r="I41" s="4">
        <f t="shared" ca="1" si="12"/>
        <v>8.6438456640790307</v>
      </c>
      <c r="J41" s="4">
        <f t="shared" ca="1" si="12"/>
        <v>0.32143515329023614</v>
      </c>
      <c r="K41" s="4">
        <f t="shared" ca="1" si="12"/>
        <v>0</v>
      </c>
      <c r="L41" s="4">
        <f t="shared" si="12"/>
        <v>0</v>
      </c>
      <c r="M41" s="4">
        <f t="shared" si="12"/>
        <v>0</v>
      </c>
      <c r="N41" s="4">
        <f t="shared" si="12"/>
        <v>0</v>
      </c>
      <c r="O41" s="4">
        <f t="shared" si="12"/>
        <v>0</v>
      </c>
      <c r="P41" s="4">
        <f t="shared" si="12"/>
        <v>0</v>
      </c>
      <c r="Q41" s="10"/>
    </row>
    <row r="42" spans="1:26" x14ac:dyDescent="0.35">
      <c r="A42" t="str">
        <f>A38</f>
        <v>spline 2</v>
      </c>
      <c r="B42" s="4">
        <f t="shared" ref="B42:P42" ca="1" si="13">B38*B$35^0.5</f>
        <v>-3.3207255402896618</v>
      </c>
      <c r="C42" s="4">
        <f t="shared" ca="1" si="13"/>
        <v>-4.2991522140142111</v>
      </c>
      <c r="D42" s="4">
        <f t="shared" ca="1" si="13"/>
        <v>-4.8002287548833795</v>
      </c>
      <c r="E42" s="4">
        <f t="shared" ca="1" si="13"/>
        <v>-4.3803795927870626</v>
      </c>
      <c r="F42" s="4">
        <f t="shared" ca="1" si="13"/>
        <v>-4.1647296402440181</v>
      </c>
      <c r="G42" s="4">
        <f t="shared" ca="1" si="13"/>
        <v>-3.8495316139478342</v>
      </c>
      <c r="H42" s="4">
        <f t="shared" ca="1" si="13"/>
        <v>-2.8834198479860493</v>
      </c>
      <c r="I42" s="4">
        <f t="shared" ca="1" si="13"/>
        <v>-2.2634331290621419</v>
      </c>
      <c r="J42" s="4">
        <f t="shared" ca="1" si="13"/>
        <v>-1.3446089230371967</v>
      </c>
      <c r="K42" s="4">
        <f t="shared" ca="1" si="13"/>
        <v>0</v>
      </c>
      <c r="L42" s="4">
        <f t="shared" si="13"/>
        <v>0</v>
      </c>
      <c r="M42" s="4">
        <f t="shared" si="13"/>
        <v>0</v>
      </c>
      <c r="N42" s="4">
        <f t="shared" si="13"/>
        <v>0</v>
      </c>
      <c r="O42" s="4">
        <f t="shared" si="13"/>
        <v>0</v>
      </c>
      <c r="P42" s="4">
        <f t="shared" si="13"/>
        <v>0</v>
      </c>
    </row>
    <row r="43" spans="1:26" x14ac:dyDescent="0.35">
      <c r="A43" t="str">
        <f>A37</f>
        <v>spline 1</v>
      </c>
      <c r="B43" s="4">
        <f t="shared" ref="B43:P43" ca="1" si="14">B37*B$35^0.5</f>
        <v>8.6737566915774931</v>
      </c>
      <c r="C43" s="4">
        <f t="shared" ca="1" si="14"/>
        <v>9.7634052549058801</v>
      </c>
      <c r="D43" s="4">
        <f t="shared" ca="1" si="14"/>
        <v>10.410492904159351</v>
      </c>
      <c r="E43" s="4">
        <f t="shared" ca="1" si="14"/>
        <v>9.2702387260857844</v>
      </c>
      <c r="F43" s="4">
        <f t="shared" ca="1" si="14"/>
        <v>8.6770469331750686</v>
      </c>
      <c r="G43" s="4">
        <f t="shared" ca="1" si="14"/>
        <v>7.9323593170975668</v>
      </c>
      <c r="H43" s="4">
        <f t="shared" ca="1" si="14"/>
        <v>5.8927320414897499</v>
      </c>
      <c r="I43" s="4">
        <f t="shared" ca="1" si="14"/>
        <v>4.5960755990460909</v>
      </c>
      <c r="J43" s="4">
        <f t="shared" ca="1" si="14"/>
        <v>2.7163819814959931</v>
      </c>
      <c r="K43" s="4">
        <f t="shared" ca="1" si="14"/>
        <v>0</v>
      </c>
      <c r="L43" s="4">
        <f t="shared" si="14"/>
        <v>0</v>
      </c>
      <c r="M43" s="4">
        <f t="shared" si="14"/>
        <v>0</v>
      </c>
      <c r="N43" s="4">
        <f t="shared" si="14"/>
        <v>0</v>
      </c>
      <c r="O43" s="4">
        <f t="shared" si="14"/>
        <v>0</v>
      </c>
      <c r="P43" s="4">
        <f t="shared" si="14"/>
        <v>0</v>
      </c>
    </row>
    <row r="44" spans="1:26" x14ac:dyDescent="0.35">
      <c r="A44" t="s">
        <v>12</v>
      </c>
      <c r="B44" s="4">
        <f t="shared" ref="B44:P44" ca="1" si="15">B36*B$35^0.5</f>
        <v>10.242443742513418</v>
      </c>
      <c r="C44" s="4">
        <f t="shared" ca="1" si="15"/>
        <v>13.246949173742737</v>
      </c>
      <c r="D44" s="4">
        <f t="shared" ca="1" si="15"/>
        <v>16.162631715790031</v>
      </c>
      <c r="E44" s="4">
        <f t="shared" ca="1" si="15"/>
        <v>16.275544294736648</v>
      </c>
      <c r="F44" s="4">
        <f t="shared" ca="1" si="15"/>
        <v>17.084841563501527</v>
      </c>
      <c r="G44" s="4">
        <f t="shared" ca="1" si="15"/>
        <v>17.421347121587257</v>
      </c>
      <c r="H44" s="4">
        <f t="shared" ca="1" si="15"/>
        <v>14.387829869036734</v>
      </c>
      <c r="I44" s="4">
        <f t="shared" ca="1" si="15"/>
        <v>12.454220436959993</v>
      </c>
      <c r="J44" s="4">
        <f t="shared" ca="1" si="15"/>
        <v>8.1655505629995773</v>
      </c>
      <c r="K44" s="4">
        <f t="shared" ca="1" si="15"/>
        <v>0</v>
      </c>
      <c r="L44" s="4">
        <f t="shared" si="15"/>
        <v>0</v>
      </c>
      <c r="M44" s="4">
        <f t="shared" si="15"/>
        <v>0</v>
      </c>
      <c r="N44" s="4">
        <f t="shared" si="15"/>
        <v>0</v>
      </c>
      <c r="O44" s="4">
        <f t="shared" si="15"/>
        <v>0</v>
      </c>
      <c r="P44" s="4">
        <f t="shared" si="15"/>
        <v>0</v>
      </c>
    </row>
    <row r="47" spans="1:26" x14ac:dyDescent="0.35">
      <c r="B47" t="s">
        <v>12</v>
      </c>
      <c r="C47" t="s">
        <v>16</v>
      </c>
      <c r="D47" t="s">
        <v>17</v>
      </c>
    </row>
    <row r="48" spans="1:26" x14ac:dyDescent="0.35">
      <c r="A48" s="9" t="s">
        <v>10</v>
      </c>
      <c r="B48" s="3" cm="1">
        <f t="array" aca="1" ref="B48:E48" ca="1">LINEST(B41:P41,B42:P44,FALSE)</f>
        <v>-1.3682924138527504</v>
      </c>
      <c r="C48" s="3">
        <f ca="1"/>
        <v>0.45315273761002012</v>
      </c>
      <c r="D48" s="3">
        <f ca="1"/>
        <v>-7.7405827708819173</v>
      </c>
      <c r="E48" s="3">
        <f ca="1"/>
        <v>0</v>
      </c>
      <c r="H48" s="11"/>
    </row>
    <row r="49" spans="1:28" x14ac:dyDescent="0.35">
      <c r="B49" s="3"/>
      <c r="C49" s="3"/>
      <c r="D49" s="3"/>
    </row>
    <row r="50" spans="1:28" x14ac:dyDescent="0.35">
      <c r="A50" s="9" t="s">
        <v>11</v>
      </c>
    </row>
    <row r="51" spans="1:28" x14ac:dyDescent="0.35">
      <c r="A51" t="s">
        <v>7</v>
      </c>
      <c r="B51" s="10" cm="1">
        <f t="array" aca="1" ref="B51" ca="1">MAX(0,MIN(1,SUM(TRANSPOSE($B$48:$D$48)*B36:B38)))</f>
        <v>0.61372489853546219</v>
      </c>
      <c r="C51" s="10" cm="1">
        <f t="array" aca="1" ref="C51" ca="1">MAX(0,MIN(1,SUM(TRANSPOSE($B$48:$D$48)*C36:C38)))</f>
        <v>0.46500669008571971</v>
      </c>
      <c r="D51" s="10" cm="1">
        <f t="array" aca="1" ref="D51" ca="1">MAX(0,MIN(1,SUM(TRANSPOSE($B$48:$D$48)*D36:D38)))</f>
        <v>0.3411466349810881</v>
      </c>
      <c r="E51" s="10" cm="1">
        <f t="array" aca="1" ref="E51" ca="1">MAX(0,MIN(1,SUM(TRANSPOSE($B$48:$D$48)*E36:E38)))</f>
        <v>0.2513704301742129</v>
      </c>
      <c r="F51" s="10" cm="1">
        <f t="array" aca="1" ref="F51" ca="1">MAX(0,MIN(1,SUM(TRANSPOSE($B$48:$D$48)*F36:F38)))</f>
        <v>0.18287603099390831</v>
      </c>
      <c r="G51" s="10" cm="1">
        <f t="array" aca="1" ref="G51" ca="1">MAX(0,MIN(1,SUM(TRANSPOSE($B$48:$D$48)*G36:G38)))</f>
        <v>0.12824179283145642</v>
      </c>
      <c r="H51" s="10" cm="1">
        <f t="array" aca="1" ref="H51" ca="1">MAX(0,MIN(1,SUM(TRANSPOSE($B$48:$D$48)*H36:H38)))</f>
        <v>8.3182943430011036E-2</v>
      </c>
      <c r="I51" s="10" cm="1">
        <f t="array" aca="1" ref="I51" ca="1">MAX(0,MIN(1,SUM(TRANSPOSE($B$48:$D$48)*I36:I38)))</f>
        <v>4.5069617662137462E-2</v>
      </c>
      <c r="J51" s="10" cm="1">
        <f t="array" aca="1" ref="J51" ca="1">MAX(0,MIN(1,SUM(TRANSPOSE($B$48:$D$48)*J36:J38)))</f>
        <v>1.2192130113126476E-2</v>
      </c>
      <c r="K51" s="10" cm="1">
        <f t="array" aca="1" ref="K51" ca="1">MAX(0,MIN(1,SUM(TRANSPOSE($B$48:$D$48)*K36:K38)))</f>
        <v>0</v>
      </c>
      <c r="L51" s="10" cm="1">
        <f t="array" aca="1" ref="L51" ca="1">MAX(0,MIN(1,SUM(TRANSPOSE($B$48:$D$48)*L36:L38)))</f>
        <v>0</v>
      </c>
      <c r="M51" s="10" cm="1">
        <f t="array" aca="1" ref="M51" ca="1">MAX(0,MIN(1,SUM(TRANSPOSE($B$48:$D$48)*M36:M38)))</f>
        <v>0</v>
      </c>
      <c r="N51" s="10" cm="1">
        <f t="array" aca="1" ref="N51" ca="1">MAX(0,MIN(1,SUM(TRANSPOSE($B$48:$D$48)*N36:N38)))</f>
        <v>0</v>
      </c>
      <c r="O51" s="10" cm="1">
        <f t="array" aca="1" ref="O51" ca="1">MAX(0,MIN(1,SUM(TRANSPOSE($B$48:$D$48)*O36:O38)))</f>
        <v>0</v>
      </c>
      <c r="P51" s="10" cm="1">
        <f t="array" aca="1" ref="P51" ca="1">MAX(0,MIN(1,SUM(TRANSPOSE($B$48:$D$48)*P36:P38)))</f>
        <v>0</v>
      </c>
      <c r="Q51" s="10" cm="1">
        <f t="array" aca="1" ref="Q51" ca="1">MAX(0,MIN(1,SUM(TRANSPOSE($B$48:$D$48)*Q36:Q38)))</f>
        <v>0</v>
      </c>
      <c r="R51" s="10" cm="1">
        <f t="array" aca="1" ref="R51" ca="1">MAX(0,MIN(1,SUM(TRANSPOSE($B$48:$D$48)*R36:R38)))</f>
        <v>0</v>
      </c>
      <c r="S51" s="10" cm="1">
        <f t="array" aca="1" ref="S51" ca="1">MAX(0,MIN(1,SUM(TRANSPOSE($B$48:$D$48)*S36:S38)))</f>
        <v>0</v>
      </c>
      <c r="T51" s="10" cm="1">
        <f t="array" aca="1" ref="T51" ca="1">MAX(0,MIN(1,SUM(TRANSPOSE($B$48:$D$48)*T36:T38)))</f>
        <v>0</v>
      </c>
      <c r="U51" s="10" cm="1">
        <f t="array" aca="1" ref="U51" ca="1">MAX(0,MIN(1,SUM(TRANSPOSE($B$48:$D$48)*U36:U38)))</f>
        <v>0</v>
      </c>
      <c r="V51" s="10" cm="1">
        <f t="array" aca="1" ref="V51" ca="1">MAX(0,MIN(1,SUM(TRANSPOSE($B$48:$D$48)*V36:V38)))</f>
        <v>0</v>
      </c>
      <c r="W51" s="10" cm="1">
        <f t="array" aca="1" ref="W51" ca="1">MAX(0,MIN(1,SUM(TRANSPOSE($B$48:$D$48)*W36:W38)))</f>
        <v>0</v>
      </c>
      <c r="X51" s="10" cm="1">
        <f t="array" aca="1" ref="X51" ca="1">MAX(0,MIN(1,SUM(TRANSPOSE($B$48:$D$48)*X36:X38)))</f>
        <v>0</v>
      </c>
      <c r="Y51" s="10" cm="1">
        <f t="array" aca="1" ref="Y51" ca="1">MAX(0,MIN(1,SUM(TRANSPOSE($B$48:$D$48)*Y36:Y38)))</f>
        <v>0</v>
      </c>
      <c r="Z51" s="10" cm="1">
        <f t="array" aca="1" ref="Z51" ca="1">MAX(0,MIN(1,SUM(TRANSPOSE($B$48:$D$48)*Z36:Z38)))</f>
        <v>0</v>
      </c>
      <c r="AA51" s="10"/>
      <c r="AB51" s="10"/>
    </row>
    <row r="52" spans="1:28" x14ac:dyDescent="0.35">
      <c r="A52" t="s">
        <v>6</v>
      </c>
      <c r="B52" s="6">
        <f ca="1">C52*(1-B51)</f>
        <v>6.2793065320503494E-2</v>
      </c>
      <c r="C52" s="6">
        <f t="shared" ref="C52:Z52" ca="1" si="16">D52*(1-C51)</f>
        <v>0.16256047848392902</v>
      </c>
      <c r="D52" s="6">
        <f t="shared" ca="1" si="16"/>
        <v>0.30385516131028889</v>
      </c>
      <c r="E52" s="6">
        <f t="shared" ca="1" si="16"/>
        <v>0.46118784154888087</v>
      </c>
      <c r="F52" s="6">
        <f t="shared" ca="1" si="16"/>
        <v>0.61604278021799685</v>
      </c>
      <c r="G52" s="6">
        <f t="shared" ca="1" si="16"/>
        <v>0.75391593391553569</v>
      </c>
      <c r="H52" s="6">
        <f t="shared" ca="1" si="16"/>
        <v>0.86482229558152635</v>
      </c>
      <c r="I52" s="6">
        <f t="shared" ca="1" si="16"/>
        <v>0.94328774686742167</v>
      </c>
      <c r="J52" s="6">
        <f t="shared" ca="1" si="16"/>
        <v>0.98780786988687352</v>
      </c>
      <c r="K52" s="6">
        <f t="shared" ca="1" si="16"/>
        <v>1</v>
      </c>
      <c r="L52" s="6">
        <f t="shared" ca="1" si="16"/>
        <v>1</v>
      </c>
      <c r="M52" s="6">
        <f t="shared" ca="1" si="16"/>
        <v>1</v>
      </c>
      <c r="N52" s="6">
        <f t="shared" ca="1" si="16"/>
        <v>1</v>
      </c>
      <c r="O52" s="6">
        <f t="shared" ca="1" si="16"/>
        <v>1</v>
      </c>
      <c r="P52" s="6">
        <f t="shared" ca="1" si="16"/>
        <v>1</v>
      </c>
      <c r="Q52" s="6">
        <f t="shared" ca="1" si="16"/>
        <v>1</v>
      </c>
      <c r="R52" s="6">
        <f t="shared" ca="1" si="16"/>
        <v>1</v>
      </c>
      <c r="S52" s="6">
        <f t="shared" ca="1" si="16"/>
        <v>1</v>
      </c>
      <c r="T52" s="6">
        <f t="shared" ca="1" si="16"/>
        <v>1</v>
      </c>
      <c r="U52" s="6">
        <f t="shared" ca="1" si="16"/>
        <v>1</v>
      </c>
      <c r="V52" s="6">
        <f t="shared" ca="1" si="16"/>
        <v>1</v>
      </c>
      <c r="W52" s="6">
        <f t="shared" ca="1" si="16"/>
        <v>1</v>
      </c>
      <c r="X52" s="6">
        <f t="shared" ca="1" si="16"/>
        <v>1</v>
      </c>
      <c r="Y52" s="6">
        <f t="shared" ca="1" si="16"/>
        <v>1</v>
      </c>
      <c r="Z52" s="6">
        <f t="shared" ca="1" si="16"/>
        <v>1</v>
      </c>
      <c r="AA52" s="12">
        <v>1</v>
      </c>
    </row>
    <row r="53" spans="1:28" x14ac:dyDescent="0.35">
      <c r="A53" t="s">
        <v>3</v>
      </c>
      <c r="B53" s="4">
        <f ca="1">1/B52</f>
        <v>15.925325430377981</v>
      </c>
      <c r="C53" s="4">
        <f t="shared" ref="C53:Z53" ca="1" si="17">1/C52</f>
        <v>6.1515566964750388</v>
      </c>
      <c r="D53" s="4">
        <f t="shared" ca="1" si="17"/>
        <v>3.2910416781725367</v>
      </c>
      <c r="E53" s="4">
        <f t="shared" ca="1" si="17"/>
        <v>2.1683138840814626</v>
      </c>
      <c r="F53" s="4">
        <f t="shared" ca="1" si="17"/>
        <v>1.6232638902871868</v>
      </c>
      <c r="G53" s="4">
        <f t="shared" ca="1" si="17"/>
        <v>1.3264078327757352</v>
      </c>
      <c r="H53" s="4">
        <f t="shared" ca="1" si="17"/>
        <v>1.1563069142748883</v>
      </c>
      <c r="I53" s="4">
        <f t="shared" ca="1" si="17"/>
        <v>1.0601219016370296</v>
      </c>
      <c r="J53" s="4">
        <f t="shared" ca="1" si="17"/>
        <v>1.0123426128549904</v>
      </c>
      <c r="K53" s="4">
        <f t="shared" ca="1" si="17"/>
        <v>1</v>
      </c>
      <c r="L53" s="4">
        <f t="shared" ca="1" si="17"/>
        <v>1</v>
      </c>
      <c r="M53" s="4">
        <f t="shared" ca="1" si="17"/>
        <v>1</v>
      </c>
      <c r="N53" s="4">
        <f t="shared" ca="1" si="17"/>
        <v>1</v>
      </c>
      <c r="O53" s="4">
        <f t="shared" ca="1" si="17"/>
        <v>1</v>
      </c>
      <c r="P53" s="4">
        <f t="shared" ca="1" si="17"/>
        <v>1</v>
      </c>
      <c r="Q53" s="4">
        <f t="shared" ca="1" si="17"/>
        <v>1</v>
      </c>
      <c r="R53" s="4">
        <f t="shared" ca="1" si="17"/>
        <v>1</v>
      </c>
      <c r="S53" s="4">
        <f t="shared" ca="1" si="17"/>
        <v>1</v>
      </c>
      <c r="T53" s="4">
        <f t="shared" ca="1" si="17"/>
        <v>1</v>
      </c>
      <c r="U53" s="4">
        <f t="shared" ca="1" si="17"/>
        <v>1</v>
      </c>
      <c r="V53" s="4">
        <f t="shared" ca="1" si="17"/>
        <v>1</v>
      </c>
      <c r="W53" s="4">
        <f t="shared" ca="1" si="17"/>
        <v>1</v>
      </c>
      <c r="X53" s="4">
        <f t="shared" ca="1" si="17"/>
        <v>1</v>
      </c>
      <c r="Y53" s="4">
        <f t="shared" ca="1" si="17"/>
        <v>1</v>
      </c>
      <c r="Z53" s="4">
        <f t="shared" ca="1" si="17"/>
        <v>1</v>
      </c>
    </row>
    <row r="54" spans="1:28" x14ac:dyDescent="0.35">
      <c r="A54" t="s">
        <v>2</v>
      </c>
      <c r="B54" s="4">
        <f ca="1">B53/C53</f>
        <v>2.5888285219745275</v>
      </c>
      <c r="C54" s="4">
        <f t="shared" ref="C54:Y54" ca="1" si="18">C53/D53</f>
        <v>1.8691822523168107</v>
      </c>
      <c r="D54" s="4">
        <f t="shared" ca="1" si="18"/>
        <v>1.5177884080037989</v>
      </c>
      <c r="E54" s="4">
        <f t="shared" ca="1" si="18"/>
        <v>1.3357741135348276</v>
      </c>
      <c r="F54" s="4">
        <f t="shared" ca="1" si="18"/>
        <v>1.22380451183723</v>
      </c>
      <c r="G54" s="4">
        <f t="shared" ca="1" si="18"/>
        <v>1.1471070668184284</v>
      </c>
      <c r="H54" s="4">
        <f t="shared" ca="1" si="18"/>
        <v>1.0907301438535801</v>
      </c>
      <c r="I54" s="4">
        <f t="shared" ca="1" si="18"/>
        <v>1.047196757476496</v>
      </c>
      <c r="J54" s="4">
        <f t="shared" ca="1" si="18"/>
        <v>1.0123426128549904</v>
      </c>
      <c r="K54" s="4">
        <f t="shared" ca="1" si="18"/>
        <v>1</v>
      </c>
      <c r="L54" s="4">
        <f t="shared" ca="1" si="18"/>
        <v>1</v>
      </c>
      <c r="M54" s="4">
        <f t="shared" ca="1" si="18"/>
        <v>1</v>
      </c>
      <c r="N54" s="4">
        <f t="shared" ca="1" si="18"/>
        <v>1</v>
      </c>
      <c r="O54" s="4">
        <f t="shared" ca="1" si="18"/>
        <v>1</v>
      </c>
      <c r="P54" s="4">
        <f t="shared" ca="1" si="18"/>
        <v>1</v>
      </c>
      <c r="Q54" s="4">
        <f t="shared" ca="1" si="18"/>
        <v>1</v>
      </c>
      <c r="R54" s="4">
        <f t="shared" ca="1" si="18"/>
        <v>1</v>
      </c>
      <c r="S54" s="4">
        <f t="shared" ca="1" si="18"/>
        <v>1</v>
      </c>
      <c r="T54" s="4">
        <f t="shared" ca="1" si="18"/>
        <v>1</v>
      </c>
      <c r="U54" s="4">
        <f t="shared" ca="1" si="18"/>
        <v>1</v>
      </c>
      <c r="V54" s="4">
        <f t="shared" ca="1" si="18"/>
        <v>1</v>
      </c>
      <c r="W54" s="4">
        <f t="shared" ca="1" si="18"/>
        <v>1</v>
      </c>
      <c r="X54" s="4">
        <f t="shared" ca="1" si="18"/>
        <v>1</v>
      </c>
      <c r="Y54" s="4">
        <f t="shared" ca="1" si="18"/>
        <v>1</v>
      </c>
    </row>
    <row r="57" spans="1:28" x14ac:dyDescent="0.35">
      <c r="A57" s="1" t="s">
        <v>19</v>
      </c>
    </row>
    <row r="58" spans="1:28" x14ac:dyDescent="0.35">
      <c r="B58" t="s">
        <v>20</v>
      </c>
      <c r="C58" t="s">
        <v>21</v>
      </c>
    </row>
    <row r="59" spans="1:28" x14ac:dyDescent="0.35">
      <c r="A59" s="9" t="s">
        <v>10</v>
      </c>
      <c r="B59" s="4" cm="1">
        <f t="array" aca="1" ref="B59:C59" ca="1">LINEST(LN(IF(B20:P20&lt;=1,1.0001,B20:P20)-1),LN(B2:P2))</f>
        <v>-4.4453777188792811</v>
      </c>
      <c r="C59" s="4">
        <f ca="1"/>
        <v>14.267413127921735</v>
      </c>
    </row>
    <row r="61" spans="1:28" x14ac:dyDescent="0.35">
      <c r="A61" s="9" t="s">
        <v>11</v>
      </c>
    </row>
    <row r="62" spans="1:28" x14ac:dyDescent="0.35">
      <c r="A62" t="s">
        <v>2</v>
      </c>
      <c r="B62" s="4">
        <f ca="1">EXP($C$59+$B$59*LN(B2))+1</f>
        <v>26.054776135765458</v>
      </c>
      <c r="C62" s="4">
        <f t="shared" ref="C62:Z62" ca="1" si="19">EXP($C$59+$B$59*LN(C2))+1</f>
        <v>2.1500017235279847</v>
      </c>
      <c r="D62" s="4">
        <f t="shared" ca="1" si="19"/>
        <v>1.1896296885437576</v>
      </c>
      <c r="E62" s="4">
        <f t="shared" ca="1" si="19"/>
        <v>1.0527845053155145</v>
      </c>
      <c r="F62" s="4">
        <f t="shared" ca="1" si="19"/>
        <v>1.0195751384879448</v>
      </c>
      <c r="G62" s="4">
        <f t="shared" ca="1" si="19"/>
        <v>1.0087039080882505</v>
      </c>
      <c r="H62" s="4">
        <f t="shared" ca="1" si="19"/>
        <v>1.0043864231943886</v>
      </c>
      <c r="I62" s="4">
        <f t="shared" ca="1" si="19"/>
        <v>1.0024227824571046</v>
      </c>
      <c r="J62" s="4">
        <f t="shared" ca="1" si="19"/>
        <v>1.0014352320923703</v>
      </c>
      <c r="K62" s="4">
        <f t="shared" ca="1" si="19"/>
        <v>1.0008984890895634</v>
      </c>
      <c r="L62" s="4">
        <f t="shared" ca="1" si="19"/>
        <v>1.0005881751710726</v>
      </c>
      <c r="M62" s="4">
        <f t="shared" ca="1" si="19"/>
        <v>1.0003995050384278</v>
      </c>
      <c r="N62" s="4">
        <f t="shared" ca="1" si="19"/>
        <v>1.0002798926978369</v>
      </c>
      <c r="O62" s="4">
        <f t="shared" ca="1" si="19"/>
        <v>1.0002013346360126</v>
      </c>
      <c r="P62" s="4">
        <f t="shared" ca="1" si="19"/>
        <v>1.0001481564790105</v>
      </c>
      <c r="Q62" s="4">
        <f t="shared" ca="1" si="19"/>
        <v>1.0001112045059315</v>
      </c>
      <c r="R62" s="4">
        <f t="shared" ca="1" si="19"/>
        <v>1.0000849337515372</v>
      </c>
      <c r="S62" s="4">
        <f t="shared" ca="1" si="19"/>
        <v>1.0000658764369295</v>
      </c>
      <c r="T62" s="4">
        <f t="shared" ca="1" si="19"/>
        <v>1.0000518021471323</v>
      </c>
      <c r="U62" s="4">
        <f t="shared" ca="1" si="19"/>
        <v>1.0000412402009089</v>
      </c>
      <c r="V62" s="4">
        <f t="shared" ca="1" si="19"/>
        <v>1.0000331991018265</v>
      </c>
      <c r="W62" s="4">
        <f t="shared" ca="1" si="19"/>
        <v>1.0000269969468818</v>
      </c>
      <c r="X62" s="4">
        <f t="shared" ca="1" si="19"/>
        <v>1.0000221562341034</v>
      </c>
      <c r="Y62" s="4">
        <f t="shared" ca="1" si="19"/>
        <v>1.0000183370819304</v>
      </c>
      <c r="Z62" s="4">
        <f t="shared" ca="1" si="19"/>
        <v>1.0000152939321727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C979-46A0-45AC-AD4D-731805EBF10B}">
  <dimension ref="A1:AB62"/>
  <sheetViews>
    <sheetView topLeftCell="A59" zoomScale="70" zoomScaleNormal="70" workbookViewId="0">
      <selection activeCell="F19" sqref="F19"/>
    </sheetView>
  </sheetViews>
  <sheetFormatPr defaultRowHeight="14.5" x14ac:dyDescent="0.35"/>
  <cols>
    <col min="1" max="1" width="13.7265625" customWidth="1"/>
    <col min="2" max="2" width="11.54296875" customWidth="1"/>
    <col min="3" max="12" width="14.1796875" bestFit="1" customWidth="1"/>
    <col min="13" max="15" width="13.08984375" bestFit="1" customWidth="1"/>
    <col min="16" max="16" width="9" bestFit="1" customWidth="1"/>
  </cols>
  <sheetData>
    <row r="1" spans="1:28" x14ac:dyDescent="0.35">
      <c r="B1" s="1" t="s">
        <v>1</v>
      </c>
    </row>
    <row r="2" spans="1:28" x14ac:dyDescent="0.35">
      <c r="A2" s="1" t="s">
        <v>0</v>
      </c>
      <c r="B2" s="2">
        <v>12</v>
      </c>
      <c r="C2" s="2">
        <v>24</v>
      </c>
      <c r="D2" s="2">
        <v>36</v>
      </c>
      <c r="E2" s="2">
        <v>48</v>
      </c>
      <c r="F2" s="2">
        <v>60</v>
      </c>
      <c r="G2" s="2">
        <v>72</v>
      </c>
      <c r="H2" s="2">
        <v>84</v>
      </c>
      <c r="I2" s="2">
        <v>96</v>
      </c>
      <c r="J2" s="2">
        <v>108</v>
      </c>
      <c r="K2" s="2">
        <v>120</v>
      </c>
      <c r="L2" s="2">
        <v>132</v>
      </c>
      <c r="M2" s="2">
        <v>144</v>
      </c>
      <c r="N2" s="2">
        <v>156</v>
      </c>
      <c r="O2" s="2">
        <v>168</v>
      </c>
      <c r="P2" s="2">
        <v>180</v>
      </c>
      <c r="Q2" s="2">
        <v>192</v>
      </c>
      <c r="R2" s="2">
        <v>204</v>
      </c>
      <c r="S2" s="2">
        <v>216</v>
      </c>
      <c r="T2" s="2">
        <v>228</v>
      </c>
      <c r="U2" s="2">
        <v>240</v>
      </c>
      <c r="V2" s="2">
        <v>252</v>
      </c>
      <c r="W2" s="2">
        <v>264</v>
      </c>
      <c r="X2" s="2">
        <v>276</v>
      </c>
      <c r="Y2" s="2">
        <v>288</v>
      </c>
      <c r="Z2" s="2">
        <v>300</v>
      </c>
      <c r="AA2" s="2"/>
      <c r="AB2" s="2"/>
    </row>
    <row r="3" spans="1:28" x14ac:dyDescent="0.35">
      <c r="A3" s="2">
        <v>2012</v>
      </c>
    </row>
    <row r="4" spans="1:28" x14ac:dyDescent="0.35">
      <c r="A4" s="2">
        <v>2013</v>
      </c>
      <c r="B4" s="13">
        <v>387026.80900000001</v>
      </c>
      <c r="C4" s="13">
        <v>463552.06300000002</v>
      </c>
      <c r="D4" s="13">
        <v>485844.29399999999</v>
      </c>
      <c r="E4" s="13">
        <v>778173.73400000005</v>
      </c>
      <c r="F4" s="13">
        <v>909494.57299999997</v>
      </c>
      <c r="G4" s="13">
        <v>1026309.7130000002</v>
      </c>
      <c r="H4" s="13">
        <v>990261.68800000008</v>
      </c>
      <c r="I4" s="13">
        <v>990261.68800000008</v>
      </c>
      <c r="J4" s="13">
        <v>1025162.2289999999</v>
      </c>
      <c r="K4" s="13">
        <v>1025162.2289999999</v>
      </c>
      <c r="L4" s="13">
        <v>1025162.2289999999</v>
      </c>
      <c r="M4" s="13">
        <v>1025162.2289999999</v>
      </c>
      <c r="N4" s="13">
        <v>1025162.2289999999</v>
      </c>
      <c r="O4" s="13">
        <v>1025162.2289999999</v>
      </c>
    </row>
    <row r="5" spans="1:28" x14ac:dyDescent="0.35">
      <c r="A5" s="2">
        <v>2014</v>
      </c>
      <c r="B5" s="13">
        <v>721554.38100000017</v>
      </c>
      <c r="C5" s="13">
        <v>1017504.4859999997</v>
      </c>
      <c r="D5" s="13">
        <v>1986074.2079999994</v>
      </c>
      <c r="E5" s="13">
        <v>2575477.6020000004</v>
      </c>
      <c r="F5" s="13">
        <v>3477456.1260000006</v>
      </c>
      <c r="G5" s="13">
        <v>3247546.0949999993</v>
      </c>
      <c r="H5" s="13">
        <v>3246444.3689999995</v>
      </c>
      <c r="I5" s="13">
        <v>3246444.3689999995</v>
      </c>
      <c r="J5" s="13">
        <v>3246444.3689999995</v>
      </c>
      <c r="K5" s="13">
        <v>3246444.3689999995</v>
      </c>
      <c r="L5" s="13">
        <v>3246444.3689999995</v>
      </c>
      <c r="M5" s="13">
        <v>3246444.3689999995</v>
      </c>
      <c r="N5" s="13">
        <v>3246444.3689999995</v>
      </c>
      <c r="O5" s="13"/>
    </row>
    <row r="6" spans="1:28" x14ac:dyDescent="0.35">
      <c r="A6" s="2">
        <v>2015</v>
      </c>
      <c r="B6" s="13">
        <v>3512563.7219999991</v>
      </c>
      <c r="C6" s="13">
        <v>5266562.3999999976</v>
      </c>
      <c r="D6" s="13">
        <v>6351170.7869999949</v>
      </c>
      <c r="E6" s="13">
        <v>7008749.8739999942</v>
      </c>
      <c r="F6" s="13">
        <v>7839785.8529999955</v>
      </c>
      <c r="G6" s="13">
        <v>7643692.7009999957</v>
      </c>
      <c r="H6" s="13">
        <v>7600920.3179999935</v>
      </c>
      <c r="I6" s="13">
        <v>7601336.3969999934</v>
      </c>
      <c r="J6" s="13">
        <v>8654880</v>
      </c>
      <c r="K6" s="13">
        <v>7600713.1379999937</v>
      </c>
      <c r="L6" s="13">
        <v>7600713.1379999937</v>
      </c>
      <c r="M6" s="13">
        <v>7600713.1379999937</v>
      </c>
      <c r="N6" s="13"/>
      <c r="O6" s="13"/>
    </row>
    <row r="7" spans="1:28" x14ac:dyDescent="0.35">
      <c r="A7" s="2">
        <v>2016</v>
      </c>
      <c r="B7" s="13">
        <v>4870653.2379999934</v>
      </c>
      <c r="C7" s="13">
        <v>8588861.5669999961</v>
      </c>
      <c r="D7" s="13">
        <v>14932191.723000005</v>
      </c>
      <c r="E7" s="13">
        <v>17189503.470999993</v>
      </c>
      <c r="F7" s="13">
        <v>17301048.222999994</v>
      </c>
      <c r="G7" s="13">
        <v>17271026.528999999</v>
      </c>
      <c r="H7" s="13">
        <v>17271833.025999997</v>
      </c>
      <c r="I7" s="13">
        <v>17266960.128999997</v>
      </c>
      <c r="J7" s="13">
        <v>17267699.628999997</v>
      </c>
      <c r="K7" s="13">
        <v>17267699.628999997</v>
      </c>
      <c r="L7" s="13">
        <v>17267699.628999997</v>
      </c>
      <c r="M7" s="13"/>
      <c r="N7" s="13"/>
      <c r="O7" s="13"/>
    </row>
    <row r="8" spans="1:28" x14ac:dyDescent="0.35">
      <c r="A8" s="2">
        <v>2017</v>
      </c>
      <c r="B8" s="13">
        <v>5768068.1924999971</v>
      </c>
      <c r="C8" s="13">
        <v>10037063.895000013</v>
      </c>
      <c r="D8" s="13">
        <v>10652257.732500013</v>
      </c>
      <c r="E8" s="13">
        <v>12006271.860000012</v>
      </c>
      <c r="F8" s="13">
        <v>12089139.85500001</v>
      </c>
      <c r="G8" s="13">
        <v>12769212.660000011</v>
      </c>
      <c r="H8" s="13">
        <v>14135430.285000011</v>
      </c>
      <c r="I8" s="13">
        <v>14025377.182500012</v>
      </c>
      <c r="J8" s="13">
        <v>14942623.410000008</v>
      </c>
      <c r="K8" s="13">
        <v>14991352.485000009</v>
      </c>
      <c r="L8" s="13"/>
      <c r="M8" s="13"/>
      <c r="N8" s="13"/>
      <c r="O8" s="13"/>
    </row>
    <row r="9" spans="1:28" x14ac:dyDescent="0.35">
      <c r="A9" s="2">
        <v>2018</v>
      </c>
      <c r="B9" s="13">
        <v>5019038.7225000057</v>
      </c>
      <c r="C9" s="13">
        <v>7594422.4050000068</v>
      </c>
      <c r="D9" s="13">
        <v>8270724.5700000059</v>
      </c>
      <c r="E9" s="13">
        <v>8827020.8699999973</v>
      </c>
      <c r="F9" s="13">
        <v>9476244.7874999959</v>
      </c>
      <c r="G9" s="13">
        <v>9398204.8799999971</v>
      </c>
      <c r="H9" s="13">
        <v>9247393.0574999955</v>
      </c>
      <c r="I9" s="13">
        <v>9630246.577499995</v>
      </c>
      <c r="J9" s="13">
        <v>11231985</v>
      </c>
      <c r="K9" s="13"/>
      <c r="L9" s="13"/>
      <c r="M9" s="13"/>
      <c r="N9" s="13"/>
      <c r="O9" s="13"/>
    </row>
    <row r="10" spans="1:28" x14ac:dyDescent="0.35">
      <c r="A10" s="2">
        <v>2019</v>
      </c>
      <c r="B10" s="13">
        <v>4799936.1359999962</v>
      </c>
      <c r="C10" s="13">
        <v>9923861.3215200026</v>
      </c>
      <c r="D10" s="13">
        <v>11191566.177540002</v>
      </c>
      <c r="E10" s="13">
        <v>11744990.166240001</v>
      </c>
      <c r="F10" s="13">
        <v>11492856.698519999</v>
      </c>
      <c r="G10" s="13">
        <v>13545433</v>
      </c>
      <c r="H10" s="13">
        <v>16304933</v>
      </c>
      <c r="I10" s="13">
        <v>12414661.150740003</v>
      </c>
      <c r="J10" s="13"/>
      <c r="K10" s="13"/>
      <c r="L10" s="13"/>
      <c r="M10" s="13"/>
      <c r="N10" s="13"/>
      <c r="O10" s="13"/>
    </row>
    <row r="11" spans="1:28" x14ac:dyDescent="0.35">
      <c r="A11" s="2">
        <v>2020</v>
      </c>
      <c r="B11" s="13">
        <v>5493944.7647999981</v>
      </c>
      <c r="C11" s="13">
        <v>9782584.9694000017</v>
      </c>
      <c r="D11" s="13">
        <v>11469778.782000007</v>
      </c>
      <c r="E11" s="13">
        <v>13748603.980399996</v>
      </c>
      <c r="F11" s="13">
        <v>15373592.092799991</v>
      </c>
      <c r="G11" s="13">
        <v>15553060.047999991</v>
      </c>
      <c r="H11" s="13">
        <v>15821034.859000001</v>
      </c>
      <c r="I11" s="13"/>
      <c r="J11" s="13"/>
      <c r="K11" s="13"/>
      <c r="L11" s="13"/>
      <c r="M11" s="13"/>
      <c r="N11" s="13"/>
      <c r="O11" s="13"/>
    </row>
    <row r="12" spans="1:28" x14ac:dyDescent="0.35">
      <c r="A12" s="2">
        <v>2021</v>
      </c>
      <c r="B12" s="13">
        <v>3957732.8453999995</v>
      </c>
      <c r="C12" s="13">
        <v>7073422.3987300014</v>
      </c>
      <c r="D12" s="13">
        <v>9012357.8970860001</v>
      </c>
      <c r="E12" s="13">
        <v>12220604.864725998</v>
      </c>
      <c r="F12" s="13">
        <v>12527619.908443999</v>
      </c>
      <c r="G12" s="13">
        <v>12890339.077689998</v>
      </c>
      <c r="H12" s="13"/>
      <c r="I12" s="13"/>
      <c r="J12" s="13"/>
      <c r="K12" s="13"/>
      <c r="L12" s="13"/>
      <c r="M12" s="13"/>
      <c r="N12" s="13"/>
      <c r="O12" s="13"/>
    </row>
    <row r="13" spans="1:28" x14ac:dyDescent="0.35">
      <c r="A13" s="2">
        <v>2022</v>
      </c>
      <c r="B13" s="13">
        <v>4420890.5543999989</v>
      </c>
      <c r="C13" s="13">
        <v>6193275.3660000023</v>
      </c>
      <c r="D13" s="13">
        <v>8009139.5616000025</v>
      </c>
      <c r="E13" s="13">
        <v>8449642.2374880016</v>
      </c>
      <c r="F13" s="13">
        <v>9497311.2634847071</v>
      </c>
      <c r="G13" s="13"/>
      <c r="H13" s="13"/>
      <c r="I13" s="13"/>
      <c r="J13" s="13"/>
      <c r="K13" s="13"/>
      <c r="L13" s="13"/>
      <c r="M13" s="13"/>
      <c r="N13" s="13"/>
      <c r="O13" s="13"/>
    </row>
    <row r="14" spans="1:28" x14ac:dyDescent="0.35">
      <c r="A14" s="2">
        <v>2023</v>
      </c>
      <c r="B14" s="13">
        <v>3503613.7829999998</v>
      </c>
      <c r="C14" s="13">
        <v>6135103.6164999977</v>
      </c>
      <c r="D14" s="13">
        <v>6985432.0978999939</v>
      </c>
      <c r="E14" s="13">
        <v>8658113.4147999957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28" x14ac:dyDescent="0.35">
      <c r="A15" s="2">
        <v>2024</v>
      </c>
      <c r="B15" s="13">
        <v>7754842.6332499953</v>
      </c>
      <c r="C15" s="13">
        <v>13049523.252849992</v>
      </c>
      <c r="D15" s="13">
        <v>15714106.588029997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28" x14ac:dyDescent="0.35">
      <c r="A16" s="2">
        <v>2025</v>
      </c>
      <c r="B16" s="13">
        <v>5291461.7594000008</v>
      </c>
      <c r="C16" s="13">
        <v>13312433.566699998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7" x14ac:dyDescent="0.35">
      <c r="A17" s="2">
        <v>2026</v>
      </c>
      <c r="B17" s="13">
        <v>6373903.717600002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7" x14ac:dyDescent="0.35">
      <c r="A18" s="2"/>
      <c r="C18" s="10"/>
      <c r="D18" s="10"/>
      <c r="E18" s="10"/>
      <c r="F18" s="10"/>
      <c r="G18" s="10"/>
      <c r="H18" s="10"/>
      <c r="I18" s="10"/>
      <c r="J18" s="10"/>
      <c r="K18" s="10"/>
    </row>
    <row r="19" spans="1:17" x14ac:dyDescent="0.35">
      <c r="B19" s="2">
        <v>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</row>
    <row r="20" spans="1:17" x14ac:dyDescent="0.35">
      <c r="A20" t="s">
        <v>14</v>
      </c>
      <c r="B20" s="4">
        <f ca="1">SUM(OFFSET(C13:C17,-B19-1,0))/SUM(OFFSET(B13:B17,-B19-1,0))</f>
        <v>1.8357976563638536</v>
      </c>
      <c r="C20" s="4">
        <f t="shared" ref="C20:J20" ca="1" si="0">SUM(OFFSET(D13:D17,-C19-1,0))/SUM(OFFSET(C13:C17,-C19-1,0))</f>
        <v>1.2120785266443335</v>
      </c>
      <c r="D20" s="4">
        <f t="shared" ca="1" si="0"/>
        <v>1.1747156978068798</v>
      </c>
      <c r="E20" s="4">
        <f t="shared" ca="1" si="0"/>
        <v>1.0614058863924769</v>
      </c>
      <c r="F20" s="4">
        <f t="shared" ca="1" si="0"/>
        <v>1.0524413548375706</v>
      </c>
      <c r="G20" s="4">
        <f t="shared" ca="1" si="0"/>
        <v>1.0619182485971845</v>
      </c>
      <c r="H20" s="4">
        <f t="shared" ca="1" si="0"/>
        <v>0.94389870421798472</v>
      </c>
      <c r="I20" s="4">
        <f t="shared" ca="1" si="0"/>
        <v>1.0690214909014535</v>
      </c>
      <c r="J20" s="4">
        <f t="shared" ca="1" si="0"/>
        <v>0.9777246598710464</v>
      </c>
      <c r="K20" s="7">
        <f>SUM(L3:L7)/SUM(K3:K7)</f>
        <v>1</v>
      </c>
      <c r="L20" s="7">
        <f>SUM(M3:M6)/SUM(L3:L6)</f>
        <v>1</v>
      </c>
      <c r="M20" s="7">
        <f>SUM(N3:N5)/SUM(M3:M5)</f>
        <v>1</v>
      </c>
      <c r="N20" s="7">
        <f>SUM(O3:O4)/SUM(N3:N4)</f>
        <v>1</v>
      </c>
      <c r="O20" s="7">
        <v>1</v>
      </c>
      <c r="P20" s="7">
        <v>1</v>
      </c>
      <c r="Q20" s="5"/>
    </row>
    <row r="21" spans="1:17" x14ac:dyDescent="0.35">
      <c r="A21" t="s">
        <v>15</v>
      </c>
      <c r="B21" s="4">
        <f ca="1">B20*C21</f>
        <v>3.0590545141739307</v>
      </c>
      <c r="C21" s="4">
        <f t="shared" ref="C21:P21" ca="1" si="1">C20*D21</f>
        <v>1.666335341245053</v>
      </c>
      <c r="D21" s="4">
        <f t="shared" ca="1" si="1"/>
        <v>1.3747750699439745</v>
      </c>
      <c r="E21" s="4">
        <f t="shared" ca="1" si="1"/>
        <v>1.1703045021962275</v>
      </c>
      <c r="F21" s="4">
        <f t="shared" ca="1" si="1"/>
        <v>1.1025984660532429</v>
      </c>
      <c r="G21" s="4">
        <f t="shared" ca="1" si="1"/>
        <v>1.0476578680466364</v>
      </c>
      <c r="H21" s="4">
        <f t="shared" ca="1" si="1"/>
        <v>0.98657111263566055</v>
      </c>
      <c r="I21" s="4">
        <f t="shared" ca="1" si="1"/>
        <v>1.0452086735864625</v>
      </c>
      <c r="J21" s="4">
        <f t="shared" ca="1" si="1"/>
        <v>0.9777246598710464</v>
      </c>
      <c r="K21" s="4">
        <f t="shared" si="1"/>
        <v>1</v>
      </c>
      <c r="L21" s="4">
        <f t="shared" si="1"/>
        <v>1</v>
      </c>
      <c r="M21" s="4">
        <f t="shared" si="1"/>
        <v>1</v>
      </c>
      <c r="N21" s="4">
        <f t="shared" si="1"/>
        <v>1</v>
      </c>
      <c r="O21" s="4">
        <f t="shared" si="1"/>
        <v>1</v>
      </c>
      <c r="P21" s="4">
        <f t="shared" si="1"/>
        <v>1</v>
      </c>
      <c r="Q21" s="4">
        <v>1</v>
      </c>
    </row>
    <row r="22" spans="1:17" x14ac:dyDescent="0.35">
      <c r="Q22" s="2"/>
    </row>
    <row r="23" spans="1:17" x14ac:dyDescent="0.35">
      <c r="A23" t="s">
        <v>4</v>
      </c>
      <c r="B23" s="13">
        <f t="shared" ref="B23:K23" ca="1" si="2">SUM(OFFSET(C13:C17,-C19,0))-SUM(OFFSET(B13:B17,-C19,0))</f>
        <v>20835216.625329994</v>
      </c>
      <c r="C23" s="13">
        <f t="shared" ca="1" si="2"/>
        <v>8956905.3231360018</v>
      </c>
      <c r="D23" s="13">
        <f t="shared" ca="1" si="2"/>
        <v>8153680.1475279853</v>
      </c>
      <c r="E23" s="13">
        <f t="shared" ca="1" si="2"/>
        <v>3376762.6318947077</v>
      </c>
      <c r="F23" s="13">
        <f t="shared" ca="1" si="2"/>
        <v>3196796.3234260008</v>
      </c>
      <c r="G23" s="13">
        <f t="shared" ca="1" si="2"/>
        <v>4243687.1105000079</v>
      </c>
      <c r="H23" s="13">
        <f t="shared" ca="1" si="2"/>
        <v>-3621928.2497600019</v>
      </c>
      <c r="I23" s="13">
        <f t="shared" ca="1" si="2"/>
        <v>3573267.7530000135</v>
      </c>
      <c r="J23" s="13">
        <f t="shared" ca="1" si="2"/>
        <v>-1005437.7870000079</v>
      </c>
      <c r="K23" s="13">
        <f t="shared" ca="1" si="2"/>
        <v>0</v>
      </c>
      <c r="L23" s="14">
        <f>SUM(M3:M6)-SUM(L3:L6)</f>
        <v>0</v>
      </c>
      <c r="M23" s="14">
        <f>SUM(N3:N5)-SUM(M3:M5)</f>
        <v>0</v>
      </c>
      <c r="N23" s="14">
        <f>SUM(O3:O4)-SUM(N3:N4)</f>
        <v>0</v>
      </c>
      <c r="O23" s="14"/>
      <c r="P23" s="14"/>
    </row>
    <row r="24" spans="1:17" x14ac:dyDescent="0.35">
      <c r="A24" t="s">
        <v>5</v>
      </c>
      <c r="B24" s="13">
        <f t="shared" ref="B24:K24" ca="1" si="3">SUM(OFFSET(C13:C17,-C19,0))</f>
        <v>45763758.200779989</v>
      </c>
      <c r="C24" s="13">
        <f t="shared" ca="1" si="3"/>
        <v>51190814.926615998</v>
      </c>
      <c r="D24" s="13">
        <f t="shared" ca="1" si="3"/>
        <v>54821954.663653992</v>
      </c>
      <c r="E24" s="13">
        <f t="shared" ca="1" si="3"/>
        <v>58367624.750748701</v>
      </c>
      <c r="F24" s="13">
        <f t="shared" ca="1" si="3"/>
        <v>64156249.665689997</v>
      </c>
      <c r="G24" s="13">
        <f t="shared" ca="1" si="3"/>
        <v>72780624.227500007</v>
      </c>
      <c r="H24" s="13">
        <f t="shared" ca="1" si="3"/>
        <v>60938581.436739996</v>
      </c>
      <c r="I24" s="13">
        <f t="shared" ca="1" si="3"/>
        <v>55343632.408000007</v>
      </c>
      <c r="J24" s="13">
        <f t="shared" ca="1" si="3"/>
        <v>44131371.850000001</v>
      </c>
      <c r="K24" s="13">
        <f t="shared" ca="1" si="3"/>
        <v>29140019.364999991</v>
      </c>
      <c r="L24" s="14">
        <f>SUM(M3:M6)</f>
        <v>11872319.735999994</v>
      </c>
      <c r="M24" s="14">
        <f>SUM(N3:N6)</f>
        <v>4271606.5979999993</v>
      </c>
      <c r="N24" s="14">
        <f>SUM(O3:O6)</f>
        <v>1025162.2289999999</v>
      </c>
      <c r="O24" s="14">
        <f>SUM(P3:P6)</f>
        <v>0</v>
      </c>
      <c r="P24" s="14">
        <f>SUM(Q3:Q6)</f>
        <v>0</v>
      </c>
    </row>
    <row r="25" spans="1:17" x14ac:dyDescent="0.35">
      <c r="A25" t="s">
        <v>7</v>
      </c>
      <c r="B25" s="3">
        <f ca="1">IF(B24=0,0,B23/B24)</f>
        <v>0.45527765735321279</v>
      </c>
      <c r="C25" s="3">
        <f t="shared" ref="C25:P25" ca="1" si="4">IF(C24=0,0,C23/C24)</f>
        <v>0.1749709461741539</v>
      </c>
      <c r="D25" s="3">
        <f t="shared" ca="1" si="4"/>
        <v>0.14873019755593891</v>
      </c>
      <c r="E25" s="3">
        <f t="shared" ca="1" si="4"/>
        <v>5.7853350145988129E-2</v>
      </c>
      <c r="F25" s="3">
        <f t="shared" ca="1" si="4"/>
        <v>4.9828291711003947E-2</v>
      </c>
      <c r="G25" s="3">
        <f t="shared" ca="1" si="4"/>
        <v>5.8307924060048658E-2</v>
      </c>
      <c r="H25" s="3">
        <f t="shared" ca="1" si="4"/>
        <v>-5.9435716493005428E-2</v>
      </c>
      <c r="I25" s="3">
        <f t="shared" ca="1" si="4"/>
        <v>6.4565110700675513E-2</v>
      </c>
      <c r="J25" s="3">
        <f t="shared" ca="1" si="4"/>
        <v>-2.2782835539702534E-2</v>
      </c>
      <c r="K25" s="3">
        <f t="shared" ca="1" si="4"/>
        <v>0</v>
      </c>
      <c r="L25" s="3">
        <f t="shared" si="4"/>
        <v>0</v>
      </c>
      <c r="M25" s="3">
        <f t="shared" si="4"/>
        <v>0</v>
      </c>
      <c r="N25" s="3">
        <f t="shared" si="4"/>
        <v>0</v>
      </c>
      <c r="O25" s="3">
        <f t="shared" si="4"/>
        <v>0</v>
      </c>
      <c r="P25" s="3">
        <f t="shared" si="4"/>
        <v>0</v>
      </c>
      <c r="Q25" s="3"/>
    </row>
    <row r="26" spans="1:17" hidden="1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idden="1" x14ac:dyDescent="0.35">
      <c r="A27" t="s">
        <v>6</v>
      </c>
      <c r="B27" s="6">
        <f ca="1">C27*(1-B25)</f>
        <v>0.32689839143649285</v>
      </c>
      <c r="C27" s="6">
        <f t="shared" ref="C27:P27" ca="1" si="5">D27*(1-C25)</f>
        <v>0.60011930086822718</v>
      </c>
      <c r="D27" s="6">
        <f t="shared" ca="1" si="5"/>
        <v>0.72739171800718827</v>
      </c>
      <c r="E27" s="6">
        <f t="shared" ca="1" si="5"/>
        <v>0.85447846959775942</v>
      </c>
      <c r="F27" s="6">
        <f t="shared" ca="1" si="5"/>
        <v>0.90694847742669693</v>
      </c>
      <c r="G27" s="6">
        <f t="shared" ca="1" si="5"/>
        <v>0.95451008435082485</v>
      </c>
      <c r="H27" s="6">
        <f t="shared" ca="1" si="5"/>
        <v>1.0136116770421788</v>
      </c>
      <c r="I27" s="6">
        <f t="shared" ca="1" si="5"/>
        <v>0.95674674854033093</v>
      </c>
      <c r="J27" s="6">
        <f t="shared" ca="1" si="5"/>
        <v>1.0227828355397026</v>
      </c>
      <c r="K27" s="6">
        <f t="shared" ca="1" si="5"/>
        <v>1</v>
      </c>
      <c r="L27" s="6">
        <f t="shared" si="5"/>
        <v>1</v>
      </c>
      <c r="M27" s="6">
        <f t="shared" si="5"/>
        <v>1</v>
      </c>
      <c r="N27" s="6">
        <f t="shared" si="5"/>
        <v>1</v>
      </c>
      <c r="O27" s="6">
        <f t="shared" si="5"/>
        <v>1</v>
      </c>
      <c r="P27" s="6">
        <f t="shared" si="5"/>
        <v>1</v>
      </c>
      <c r="Q27" s="6">
        <v>1</v>
      </c>
    </row>
    <row r="28" spans="1:17" hidden="1" x14ac:dyDescent="0.35">
      <c r="A28" t="s">
        <v>14</v>
      </c>
      <c r="B28" s="4">
        <f ca="1">1/B27</f>
        <v>3.0590545141739307</v>
      </c>
      <c r="C28" s="4">
        <f t="shared" ref="C28:Q28" ca="1" si="6">1/C27</f>
        <v>1.666335341245053</v>
      </c>
      <c r="D28" s="4">
        <f t="shared" ca="1" si="6"/>
        <v>1.3747750699439745</v>
      </c>
      <c r="E28" s="4">
        <f t="shared" ca="1" si="6"/>
        <v>1.1703045021962273</v>
      </c>
      <c r="F28" s="4">
        <f t="shared" ca="1" si="6"/>
        <v>1.1025984660532426</v>
      </c>
      <c r="G28" s="4">
        <f t="shared" ca="1" si="6"/>
        <v>1.0476578680466362</v>
      </c>
      <c r="H28" s="4">
        <f t="shared" ca="1" si="6"/>
        <v>0.98657111263566033</v>
      </c>
      <c r="I28" s="4">
        <f t="shared" ca="1" si="6"/>
        <v>1.0452086735864625</v>
      </c>
      <c r="J28" s="4">
        <f t="shared" ca="1" si="6"/>
        <v>0.97772465987104629</v>
      </c>
      <c r="K28" s="4">
        <f t="shared" ca="1" si="6"/>
        <v>1</v>
      </c>
      <c r="L28" s="4">
        <f t="shared" si="6"/>
        <v>1</v>
      </c>
      <c r="M28" s="4">
        <f t="shared" si="6"/>
        <v>1</v>
      </c>
      <c r="N28" s="4">
        <f t="shared" si="6"/>
        <v>1</v>
      </c>
      <c r="O28" s="4">
        <f t="shared" si="6"/>
        <v>1</v>
      </c>
      <c r="P28" s="4">
        <f t="shared" si="6"/>
        <v>1</v>
      </c>
      <c r="Q28" s="4">
        <f t="shared" si="6"/>
        <v>1</v>
      </c>
    </row>
    <row r="29" spans="1:17" hidden="1" x14ac:dyDescent="0.35">
      <c r="A29" t="s">
        <v>15</v>
      </c>
      <c r="B29" s="4">
        <f ca="1">B28/C28</f>
        <v>1.8357976563638536</v>
      </c>
      <c r="C29" s="4">
        <f t="shared" ref="C29:P29" ca="1" si="7">C28/D28</f>
        <v>1.2120785266443335</v>
      </c>
      <c r="D29" s="4">
        <f t="shared" ca="1" si="7"/>
        <v>1.17471569780688</v>
      </c>
      <c r="E29" s="4">
        <f t="shared" ca="1" si="7"/>
        <v>1.0614058863924769</v>
      </c>
      <c r="F29" s="4">
        <f t="shared" ca="1" si="7"/>
        <v>1.0524413548375706</v>
      </c>
      <c r="G29" s="4">
        <f t="shared" ca="1" si="7"/>
        <v>1.0619182485971845</v>
      </c>
      <c r="H29" s="4">
        <f t="shared" ca="1" si="7"/>
        <v>0.9438987042179845</v>
      </c>
      <c r="I29" s="4">
        <f t="shared" ca="1" si="7"/>
        <v>1.0690214909014537</v>
      </c>
      <c r="J29" s="4">
        <f t="shared" ca="1" si="7"/>
        <v>0.97772465987104629</v>
      </c>
      <c r="K29" s="4">
        <f t="shared" ca="1" si="7"/>
        <v>1</v>
      </c>
      <c r="L29" s="4">
        <f t="shared" si="7"/>
        <v>1</v>
      </c>
      <c r="M29" s="4">
        <f t="shared" si="7"/>
        <v>1</v>
      </c>
      <c r="N29" s="4">
        <f t="shared" si="7"/>
        <v>1</v>
      </c>
      <c r="O29" s="4">
        <f t="shared" si="7"/>
        <v>1</v>
      </c>
      <c r="P29" s="4">
        <f t="shared" si="7"/>
        <v>1</v>
      </c>
    </row>
    <row r="30" spans="1:17" hidden="1" x14ac:dyDescent="0.35">
      <c r="B30" t="b">
        <f ca="1">B29=B20</f>
        <v>1</v>
      </c>
      <c r="C30" t="b">
        <f t="shared" ref="C30:P30" ca="1" si="8">C29=C20</f>
        <v>1</v>
      </c>
      <c r="D30" t="b">
        <f t="shared" ca="1" si="8"/>
        <v>1</v>
      </c>
      <c r="E30" t="b">
        <f t="shared" ca="1" si="8"/>
        <v>1</v>
      </c>
      <c r="F30" t="b">
        <f t="shared" ca="1" si="8"/>
        <v>1</v>
      </c>
      <c r="G30" t="b">
        <f t="shared" ca="1" si="8"/>
        <v>1</v>
      </c>
      <c r="H30" t="b">
        <f t="shared" ca="1" si="8"/>
        <v>0</v>
      </c>
      <c r="I30" t="b">
        <f t="shared" ca="1" si="8"/>
        <v>1</v>
      </c>
      <c r="J30" t="b">
        <f t="shared" ca="1" si="8"/>
        <v>1</v>
      </c>
      <c r="K30" t="b">
        <f t="shared" ca="1" si="8"/>
        <v>1</v>
      </c>
      <c r="L30" t="b">
        <f t="shared" si="8"/>
        <v>1</v>
      </c>
      <c r="M30" t="b">
        <f t="shared" si="8"/>
        <v>1</v>
      </c>
      <c r="N30" t="b">
        <f t="shared" si="8"/>
        <v>1</v>
      </c>
      <c r="O30" t="b">
        <f t="shared" si="8"/>
        <v>1</v>
      </c>
      <c r="P30" t="b">
        <f t="shared" si="8"/>
        <v>1</v>
      </c>
    </row>
    <row r="33" spans="1:26" x14ac:dyDescent="0.35">
      <c r="A33" s="1" t="s">
        <v>18</v>
      </c>
    </row>
    <row r="35" spans="1:26" x14ac:dyDescent="0.35">
      <c r="A35" t="s">
        <v>9</v>
      </c>
      <c r="B35" s="13">
        <f ca="1">B24*LN(B2)^1.67/1000</f>
        <v>209261.58623446256</v>
      </c>
      <c r="C35" s="13">
        <f t="shared" ref="C35:P35" ca="1" si="9">C24*LN(C2)^1.67/1000</f>
        <v>353021.64088820224</v>
      </c>
      <c r="D35" s="13">
        <f t="shared" ca="1" si="9"/>
        <v>462010.36814986973</v>
      </c>
      <c r="E35" s="13">
        <f t="shared" ca="1" si="9"/>
        <v>559595.71049356146</v>
      </c>
      <c r="F35" s="13">
        <f t="shared" ca="1" si="9"/>
        <v>675440.1878962497</v>
      </c>
      <c r="G35" s="13">
        <f t="shared" ca="1" si="9"/>
        <v>824065.44593729847</v>
      </c>
      <c r="H35" s="13">
        <f t="shared" ca="1" si="9"/>
        <v>732015.49745913013</v>
      </c>
      <c r="I35" s="13">
        <f t="shared" ca="1" si="9"/>
        <v>698602.60589561716</v>
      </c>
      <c r="J35" s="13">
        <f t="shared" ca="1" si="9"/>
        <v>581283.78609050252</v>
      </c>
      <c r="K35" s="13">
        <f t="shared" ca="1" si="9"/>
        <v>398354.9878473148</v>
      </c>
      <c r="L35" s="13">
        <f t="shared" si="9"/>
        <v>167730.86732766757</v>
      </c>
      <c r="M35" s="13">
        <f t="shared" si="9"/>
        <v>62155.443859506195</v>
      </c>
      <c r="N35" s="13">
        <f t="shared" si="9"/>
        <v>15320.344032166218</v>
      </c>
      <c r="O35" s="13">
        <f t="shared" si="9"/>
        <v>0</v>
      </c>
      <c r="P35" s="13">
        <f t="shared" si="9"/>
        <v>0</v>
      </c>
    </row>
    <row r="36" spans="1:26" x14ac:dyDescent="0.35">
      <c r="A36" t="s">
        <v>12</v>
      </c>
      <c r="B36" s="4">
        <f>1/LN(B2)</f>
        <v>0.40242960438184466</v>
      </c>
      <c r="C36" s="4">
        <f t="shared" ref="C36:Z36" si="10">1/LN(C2)</f>
        <v>0.31465798044412485</v>
      </c>
      <c r="D36" s="4">
        <f t="shared" si="10"/>
        <v>0.27905531327562361</v>
      </c>
      <c r="E36" s="4">
        <f t="shared" si="10"/>
        <v>0.25831776680732876</v>
      </c>
      <c r="F36" s="4">
        <f t="shared" si="10"/>
        <v>0.24423933667597231</v>
      </c>
      <c r="G36" s="4">
        <f t="shared" si="10"/>
        <v>0.23382699798647663</v>
      </c>
      <c r="H36" s="4">
        <f t="shared" si="10"/>
        <v>0.22569202144874392</v>
      </c>
      <c r="I36" s="4">
        <f t="shared" si="10"/>
        <v>0.21908933281411486</v>
      </c>
      <c r="J36" s="4">
        <f t="shared" si="10"/>
        <v>0.21357795232369067</v>
      </c>
      <c r="K36" s="4">
        <f t="shared" si="10"/>
        <v>0.20887764485602911</v>
      </c>
      <c r="L36" s="4">
        <f t="shared" si="10"/>
        <v>0.20480044364984401</v>
      </c>
      <c r="M36" s="4">
        <f t="shared" si="10"/>
        <v>0.20121480219092233</v>
      </c>
      <c r="N36" s="4">
        <f t="shared" si="10"/>
        <v>0.19802544836217253</v>
      </c>
      <c r="O36" s="4">
        <f t="shared" si="10"/>
        <v>0.19516140316748692</v>
      </c>
      <c r="P36" s="4">
        <f t="shared" si="10"/>
        <v>0.19256851707299927</v>
      </c>
      <c r="Q36" s="4">
        <f t="shared" si="10"/>
        <v>0.19020463723476499</v>
      </c>
      <c r="R36" s="4">
        <f t="shared" si="10"/>
        <v>0.18803637397379361</v>
      </c>
      <c r="S36" s="4">
        <f t="shared" si="10"/>
        <v>0.1860368755170824</v>
      </c>
      <c r="T36" s="4">
        <f t="shared" si="10"/>
        <v>0.18418425871932848</v>
      </c>
      <c r="U36" s="4">
        <f t="shared" si="10"/>
        <v>0.18246047841995375</v>
      </c>
      <c r="V36" s="4">
        <f t="shared" si="10"/>
        <v>0.18085049725270286</v>
      </c>
      <c r="W36" s="4">
        <f t="shared" si="10"/>
        <v>0.17934166569700832</v>
      </c>
      <c r="X36" s="4">
        <f t="shared" si="10"/>
        <v>0.17792325207614929</v>
      </c>
      <c r="Y36" s="4">
        <f t="shared" si="10"/>
        <v>0.17658608134521075</v>
      </c>
      <c r="Z36" s="4">
        <f t="shared" si="10"/>
        <v>0.17532225403814608</v>
      </c>
    </row>
    <row r="37" spans="1:26" x14ac:dyDescent="0.35">
      <c r="A37" t="s">
        <v>16</v>
      </c>
      <c r="B37" s="4">
        <f>VLOOKUP(B2,splines!$A$2:$C$301,2,FALSE)</f>
        <v>0.34079527910000001</v>
      </c>
      <c r="C37" s="4">
        <f>VLOOKUP(C2,splines!$A$2:$C$301,2,FALSE)</f>
        <v>0.23191252109999999</v>
      </c>
      <c r="D37" s="4">
        <f>VLOOKUP(D2,splines!$A$2:$C$301,2,FALSE)</f>
        <v>0.17974197580000001</v>
      </c>
      <c r="E37" s="4">
        <f>VLOOKUP(E2,splines!$A$2:$C$301,2,FALSE)</f>
        <v>0.14713285910000001</v>
      </c>
      <c r="F37" s="4">
        <f>VLOOKUP(F2,splines!$A$2:$C$301,2,FALSE)</f>
        <v>0.12404424</v>
      </c>
      <c r="G37" s="4">
        <f>VLOOKUP(G2,splines!$A$2:$C$301,2,FALSE)</f>
        <v>0.106467069</v>
      </c>
      <c r="H37" s="4">
        <f>VLOOKUP(H2,splines!$A$2:$C$301,2,FALSE)</f>
        <v>9.2435246900000004E-2</v>
      </c>
      <c r="I37" s="4">
        <f>VLOOKUP(I2,splines!$A$2:$C$301,2,FALSE)</f>
        <v>8.0852201200000001E-2</v>
      </c>
      <c r="J37" s="4">
        <f>VLOOKUP(J2,splines!$A$2:$C$301,2,FALSE)</f>
        <v>7.1049624500000005E-2</v>
      </c>
      <c r="K37" s="4">
        <f>VLOOKUP(K2,splines!$A$2:$C$301,2,FALSE)</f>
        <v>6.2592849300000003E-2</v>
      </c>
      <c r="L37" s="4">
        <f>VLOOKUP(L2,splines!$A$2:$C$301,2,FALSE)</f>
        <v>5.5184726199999999E-2</v>
      </c>
      <c r="M37" s="4">
        <f>VLOOKUP(M2,splines!$A$2:$C$301,2,FALSE)</f>
        <v>4.8613948300000001E-2</v>
      </c>
      <c r="N37" s="4">
        <f>VLOOKUP(N2,splines!$A$2:$C$301,2,FALSE)</f>
        <v>4.2725427900000001E-2</v>
      </c>
      <c r="O37" s="4">
        <f>VLOOKUP(O2,splines!$A$2:$C$301,2,FALSE)</f>
        <v>3.7404070800000001E-2</v>
      </c>
      <c r="P37" s="4">
        <f>VLOOKUP(P2,splines!$A$2:$C$301,2,FALSE)</f>
        <v>3.2562542E-2</v>
      </c>
      <c r="Q37" s="4">
        <f>VLOOKUP(Q2,splines!$A$2:$C$301,2,FALSE)</f>
        <v>2.81313599E-2</v>
      </c>
      <c r="R37" s="4">
        <f>VLOOKUP(R2,splines!$A$2:$C$301,2,FALSE)</f>
        <v>2.4054376299999999E-2</v>
      </c>
      <c r="S37" s="4">
        <f>VLOOKUP(S2,splines!$A$2:$C$301,2,FALSE)</f>
        <v>2.0285670499999998E-2</v>
      </c>
      <c r="T37" s="4">
        <f>VLOOKUP(T2,splines!$A$2:$C$301,2,FALSE)</f>
        <v>1.6787278199999998E-2</v>
      </c>
      <c r="U37" s="4">
        <f>VLOOKUP(U2,splines!$A$2:$C$301,2,FALSE)</f>
        <v>1.3527505800000001E-2</v>
      </c>
      <c r="V37" s="4">
        <f>VLOOKUP(V2,splines!$A$2:$C$301,2,FALSE)</f>
        <v>1.04796587E-2</v>
      </c>
      <c r="W37" s="4">
        <f>VLOOKUP(W2,splines!$A$2:$C$301,2,FALSE)</f>
        <v>7.6210714999999998E-3</v>
      </c>
      <c r="X37" s="4">
        <f>VLOOKUP(X2,splines!$A$2:$C$301,2,FALSE)</f>
        <v>4.9323574000000002E-3</v>
      </c>
      <c r="Y37" s="4">
        <f>VLOOKUP(Y2,splines!$A$2:$C$301,2,FALSE)</f>
        <v>2.3968220999999999E-3</v>
      </c>
      <c r="Z37" s="4">
        <f>VLOOKUP(Z2,splines!$A$2:$C$301,2,FALSE)</f>
        <v>0</v>
      </c>
    </row>
    <row r="38" spans="1:26" x14ac:dyDescent="0.35">
      <c r="A38" t="s">
        <v>17</v>
      </c>
      <c r="B38" s="4">
        <f>VLOOKUP(B2,splines!$A$2:$C$301,3,FALSE)</f>
        <v>-0.13047259999999999</v>
      </c>
      <c r="C38" s="4">
        <f>VLOOKUP(C2,splines!$A$2:$C$301,3,FALSE)</f>
        <v>-0.1021188</v>
      </c>
      <c r="D38" s="4">
        <f>VLOOKUP(D2,splines!$A$2:$C$301,3,FALSE)</f>
        <v>-8.2878170000000001E-2</v>
      </c>
      <c r="E38" s="4">
        <f>VLOOKUP(E2,splines!$A$2:$C$301,3,FALSE)</f>
        <v>-6.952332E-2</v>
      </c>
      <c r="F38" s="4">
        <f>VLOOKUP(F2,splines!$A$2:$C$301,3,FALSE)</f>
        <v>-5.9537619999999999E-2</v>
      </c>
      <c r="G38" s="4">
        <f>VLOOKUP(G2,splines!$A$2:$C$301,3,FALSE)</f>
        <v>-5.1667900000000003E-2</v>
      </c>
      <c r="H38" s="4">
        <f>VLOOKUP(H2,splines!$A$2:$C$301,3,FALSE)</f>
        <v>-4.5230230000000003E-2</v>
      </c>
      <c r="I38" s="4">
        <f>VLOOKUP(I2,splines!$A$2:$C$301,3,FALSE)</f>
        <v>-3.9817350000000001E-2</v>
      </c>
      <c r="J38" s="4">
        <f>VLOOKUP(J2,splines!$A$2:$C$301,3,FALSE)</f>
        <v>-3.5169560000000002E-2</v>
      </c>
      <c r="K38" s="4">
        <f>VLOOKUP(K2,splines!$A$2:$C$301,3,FALSE)</f>
        <v>-3.111218E-2</v>
      </c>
      <c r="L38" s="4">
        <f>VLOOKUP(L2,splines!$A$2:$C$301,3,FALSE)</f>
        <v>-2.7522629999999999E-2</v>
      </c>
      <c r="M38" s="4">
        <f>VLOOKUP(M2,splines!$A$2:$C$301,3,FALSE)</f>
        <v>-2.4311900000000001E-2</v>
      </c>
      <c r="N38" s="4">
        <f>VLOOKUP(N2,splines!$A$2:$C$301,3,FALSE)</f>
        <v>-2.1413519999999998E-2</v>
      </c>
      <c r="O38" s="4">
        <f>VLOOKUP(O2,splines!$A$2:$C$301,3,FALSE)</f>
        <v>-1.8778429999999999E-2</v>
      </c>
      <c r="P38" s="4">
        <f>VLOOKUP(P2,splines!$A$2:$C$301,3,FALSE)</f>
        <v>-1.636963E-2</v>
      </c>
      <c r="Q38" s="4">
        <f>VLOOKUP(Q2,splines!$A$2:$C$301,3,FALSE)</f>
        <v>-1.415689E-2</v>
      </c>
      <c r="R38" s="4">
        <f>VLOOKUP(R2,splines!$A$2:$C$301,3,FALSE)</f>
        <v>-1.211518E-2</v>
      </c>
      <c r="S38" s="4">
        <f>VLOOKUP(S2,splines!$A$2:$C$301,3,FALSE)</f>
        <v>-1.0223629999999999E-2</v>
      </c>
      <c r="T38" s="4">
        <f>VLOOKUP(T2,splines!$A$2:$C$301,3,FALSE)</f>
        <v>-8.4647179999999995E-3</v>
      </c>
      <c r="U38" s="4">
        <f>VLOOKUP(U2,splines!$A$2:$C$301,3,FALSE)</f>
        <v>-6.8236119999999997E-3</v>
      </c>
      <c r="V38" s="4">
        <f>VLOOKUP(V2,splines!$A$2:$C$301,3,FALSE)</f>
        <v>-5.2876800000000003E-3</v>
      </c>
      <c r="W38" s="4">
        <f>VLOOKUP(W2,splines!$A$2:$C$301,3,FALSE)</f>
        <v>-3.8460930000000001E-3</v>
      </c>
      <c r="X38" s="4">
        <f>VLOOKUP(X2,splines!$A$2:$C$301,3,FALSE)</f>
        <v>-2.4895109999999998E-3</v>
      </c>
      <c r="Y38" s="4">
        <f>VLOOKUP(Y2,splines!$A$2:$C$301,3,FALSE)</f>
        <v>-1.209835E-3</v>
      </c>
      <c r="Z38" s="4">
        <f>VLOOKUP(Z2,splines!$A$2:$C$301,3,FALSE)</f>
        <v>0</v>
      </c>
    </row>
    <row r="40" spans="1:26" x14ac:dyDescent="0.35">
      <c r="A40" s="9" t="s">
        <v>13</v>
      </c>
    </row>
    <row r="41" spans="1:26" x14ac:dyDescent="0.35">
      <c r="A41" t="s">
        <v>7</v>
      </c>
      <c r="B41" s="4">
        <f t="shared" ref="B41" ca="1" si="11">B25*B35^0.5</f>
        <v>208.26730364953627</v>
      </c>
      <c r="C41" s="4">
        <f ca="1">C25*C35^0.5</f>
        <v>103.9600799824121</v>
      </c>
      <c r="D41" s="4">
        <f t="shared" ref="D41:P41" ca="1" si="12">D25*D35^0.5</f>
        <v>101.09391504775282</v>
      </c>
      <c r="E41" s="4">
        <f t="shared" ca="1" si="12"/>
        <v>43.277852394421004</v>
      </c>
      <c r="F41" s="4">
        <f t="shared" ca="1" si="12"/>
        <v>40.951465374792981</v>
      </c>
      <c r="G41" s="4">
        <f t="shared" ca="1" si="12"/>
        <v>52.930796770546969</v>
      </c>
      <c r="H41" s="4">
        <f t="shared" ca="1" si="12"/>
        <v>-50.851953389808521</v>
      </c>
      <c r="I41" s="4">
        <f t="shared" ca="1" si="12"/>
        <v>53.965101797379837</v>
      </c>
      <c r="J41" s="4">
        <f t="shared" ca="1" si="12"/>
        <v>-17.370082445222359</v>
      </c>
      <c r="K41" s="4">
        <f t="shared" ca="1" si="12"/>
        <v>0</v>
      </c>
      <c r="L41" s="4">
        <f t="shared" si="12"/>
        <v>0</v>
      </c>
      <c r="M41" s="4">
        <f t="shared" si="12"/>
        <v>0</v>
      </c>
      <c r="N41" s="4">
        <f t="shared" si="12"/>
        <v>0</v>
      </c>
      <c r="O41" s="4">
        <f t="shared" si="12"/>
        <v>0</v>
      </c>
      <c r="P41" s="4">
        <f t="shared" si="12"/>
        <v>0</v>
      </c>
      <c r="Q41" s="10"/>
    </row>
    <row r="42" spans="1:26" x14ac:dyDescent="0.35">
      <c r="A42" t="str">
        <f>A38</f>
        <v>spline 2</v>
      </c>
      <c r="B42" s="4">
        <f t="shared" ref="B42:P42" ca="1" si="13">B38*B$35^0.5</f>
        <v>-59.684845419644731</v>
      </c>
      <c r="C42" s="4">
        <f t="shared" ca="1" si="13"/>
        <v>-60.674522529821829</v>
      </c>
      <c r="D42" s="4">
        <f t="shared" ca="1" si="13"/>
        <v>-56.333406496969026</v>
      </c>
      <c r="E42" s="4">
        <f t="shared" ca="1" si="13"/>
        <v>-52.007705229474006</v>
      </c>
      <c r="F42" s="4">
        <f t="shared" ca="1" si="13"/>
        <v>-48.931093164270507</v>
      </c>
      <c r="G42" s="4">
        <f t="shared" ca="1" si="13"/>
        <v>-46.903112373619663</v>
      </c>
      <c r="H42" s="4">
        <f t="shared" ca="1" si="13"/>
        <v>-38.698036862077629</v>
      </c>
      <c r="I42" s="4">
        <f t="shared" ca="1" si="13"/>
        <v>-33.280316919357823</v>
      </c>
      <c r="J42" s="4">
        <f t="shared" ca="1" si="13"/>
        <v>-26.813965087779003</v>
      </c>
      <c r="K42" s="4">
        <f t="shared" ca="1" si="13"/>
        <v>-19.636567394483514</v>
      </c>
      <c r="L42" s="4">
        <f t="shared" si="13"/>
        <v>-11.271881854348004</v>
      </c>
      <c r="M42" s="4">
        <f t="shared" si="13"/>
        <v>-6.0611982170057699</v>
      </c>
      <c r="N42" s="4">
        <f t="shared" si="13"/>
        <v>-2.6504665178754721</v>
      </c>
      <c r="O42" s="4">
        <f t="shared" si="13"/>
        <v>0</v>
      </c>
      <c r="P42" s="4">
        <f t="shared" si="13"/>
        <v>0</v>
      </c>
    </row>
    <row r="43" spans="1:26" x14ac:dyDescent="0.35">
      <c r="A43" t="str">
        <f>A37</f>
        <v>spline 1</v>
      </c>
      <c r="B43" s="4">
        <f t="shared" ref="B43:P43" ca="1" si="14">B37*B$35^0.5</f>
        <v>155.89720410897144</v>
      </c>
      <c r="C43" s="4">
        <f t="shared" ca="1" si="14"/>
        <v>137.79227220090453</v>
      </c>
      <c r="D43" s="4">
        <f t="shared" ca="1" si="14"/>
        <v>122.17303769267312</v>
      </c>
      <c r="E43" s="4">
        <f t="shared" ca="1" si="14"/>
        <v>110.06439804144182</v>
      </c>
      <c r="F43" s="4">
        <f t="shared" ca="1" si="14"/>
        <v>101.94596733848499</v>
      </c>
      <c r="G43" s="4">
        <f t="shared" ca="1" si="14"/>
        <v>96.648729702521649</v>
      </c>
      <c r="H43" s="4">
        <f t="shared" ca="1" si="14"/>
        <v>79.085660008614738</v>
      </c>
      <c r="I43" s="4">
        <f t="shared" ca="1" si="14"/>
        <v>67.578251178536064</v>
      </c>
      <c r="J43" s="4">
        <f t="shared" ca="1" si="14"/>
        <v>54.169632797305617</v>
      </c>
      <c r="K43" s="4">
        <f t="shared" ca="1" si="14"/>
        <v>39.505708172561363</v>
      </c>
      <c r="L43" s="4">
        <f t="shared" si="14"/>
        <v>22.600882033836989</v>
      </c>
      <c r="M43" s="4">
        <f t="shared" si="14"/>
        <v>12.119940307321546</v>
      </c>
      <c r="N43" s="4">
        <f t="shared" si="14"/>
        <v>5.2883559597325691</v>
      </c>
      <c r="O43" s="4">
        <f t="shared" si="14"/>
        <v>0</v>
      </c>
      <c r="P43" s="4">
        <f t="shared" si="14"/>
        <v>0</v>
      </c>
    </row>
    <row r="44" spans="1:26" x14ac:dyDescent="0.35">
      <c r="A44" t="s">
        <v>12</v>
      </c>
      <c r="B44" s="4">
        <f t="shared" ref="B44:P44" ca="1" si="15">B36*B$35^0.5</f>
        <v>184.09189921730066</v>
      </c>
      <c r="C44" s="4">
        <f t="shared" ca="1" si="15"/>
        <v>186.95600343565818</v>
      </c>
      <c r="D44" s="4">
        <f t="shared" ca="1" si="15"/>
        <v>189.67764850375849</v>
      </c>
      <c r="E44" s="4">
        <f t="shared" ca="1" si="15"/>
        <v>193.23752478523119</v>
      </c>
      <c r="F44" s="4">
        <f t="shared" ca="1" si="15"/>
        <v>200.7285097602429</v>
      </c>
      <c r="G44" s="4">
        <f t="shared" ca="1" si="15"/>
        <v>212.26359040227786</v>
      </c>
      <c r="H44" s="4">
        <f t="shared" ca="1" si="15"/>
        <v>193.09736354425581</v>
      </c>
      <c r="I44" s="4">
        <f t="shared" ca="1" si="15"/>
        <v>183.12023350886997</v>
      </c>
      <c r="J44" s="4">
        <f t="shared" ca="1" si="15"/>
        <v>162.83603653633341</v>
      </c>
      <c r="K44" s="4">
        <f t="shared" ca="1" si="15"/>
        <v>131.83389754161902</v>
      </c>
      <c r="L44" s="4">
        <f t="shared" si="15"/>
        <v>83.875937893257216</v>
      </c>
      <c r="M44" s="4">
        <f t="shared" si="15"/>
        <v>50.16484932377918</v>
      </c>
      <c r="N44" s="4">
        <f t="shared" si="15"/>
        <v>24.51067459115627</v>
      </c>
      <c r="O44" s="4">
        <f t="shared" si="15"/>
        <v>0</v>
      </c>
      <c r="P44" s="4">
        <f t="shared" si="15"/>
        <v>0</v>
      </c>
    </row>
    <row r="47" spans="1:26" x14ac:dyDescent="0.35">
      <c r="B47" t="s">
        <v>12</v>
      </c>
      <c r="C47" t="s">
        <v>16</v>
      </c>
      <c r="D47" t="s">
        <v>17</v>
      </c>
    </row>
    <row r="48" spans="1:26" x14ac:dyDescent="0.35">
      <c r="A48" s="9" t="s">
        <v>10</v>
      </c>
      <c r="B48" s="3" cm="1">
        <f t="array" aca="1" ref="B48:E48" ca="1">LINEST(B41:P41,B42:P44,FALSE)</f>
        <v>-0.26057402094040738</v>
      </c>
      <c r="C48" s="3">
        <f ca="1"/>
        <v>4.535560927160426</v>
      </c>
      <c r="D48" s="3">
        <f ca="1"/>
        <v>7.5765056453507409</v>
      </c>
      <c r="E48" s="3">
        <f ca="1"/>
        <v>0</v>
      </c>
      <c r="H48" s="11"/>
    </row>
    <row r="49" spans="1:28" x14ac:dyDescent="0.35">
      <c r="B49" s="3"/>
      <c r="C49" s="3"/>
      <c r="D49" s="3"/>
    </row>
    <row r="50" spans="1:28" x14ac:dyDescent="0.35">
      <c r="A50" s="9" t="s">
        <v>11</v>
      </c>
    </row>
    <row r="51" spans="1:28" x14ac:dyDescent="0.35">
      <c r="A51" t="s">
        <v>7</v>
      </c>
      <c r="B51" s="10" cm="1">
        <f t="array" aca="1" ref="B51" ca="1">MAX(0,MIN(1,SUM(TRANSPOSE($B$48:$D$48)*B36:B38)))</f>
        <v>0.4523086614238685</v>
      </c>
      <c r="C51" s="10" cm="1">
        <f t="array" aca="1" ref="C51" ca="1">MAX(0,MIN(1,SUM(TRANSPOSE($B$48:$D$48)*C36:C38)))</f>
        <v>0.19615800933867078</v>
      </c>
      <c r="D51" s="10" cm="1">
        <f t="array" aca="1" ref="D51" ca="1">MAX(0,MIN(1,SUM(TRANSPOSE($B$48:$D$48)*D36:D38)))</f>
        <v>0.11458919448274218</v>
      </c>
      <c r="E51" s="10" cm="1">
        <f t="array" aca="1" ref="E51" ca="1">MAX(0,MIN(1,SUM(TRANSPOSE($B$48:$D$48)*E36:E38)))</f>
        <v>7.3275321194502196E-2</v>
      </c>
      <c r="F51" s="10" cm="1">
        <f t="array" aca="1" ref="F51" ca="1">MAX(0,MIN(1,SUM(TRANSPOSE($B$48:$D$48)*F36:F38)))</f>
        <v>4.7880668113087221E-2</v>
      </c>
      <c r="G51" s="10" cm="1">
        <f t="array" aca="1" ref="G51" ca="1">MAX(0,MIN(1,SUM(TRANSPOSE($B$48:$D$48)*G36:G38)))</f>
        <v>3.0496501082514726E-2</v>
      </c>
      <c r="H51" s="10" cm="1">
        <f t="array" aca="1" ref="H51" ca="1">MAX(0,MIN(1,SUM(TRANSPOSE($B$48:$D$48)*H36:H38)))</f>
        <v>1.7749123673486578E-2</v>
      </c>
      <c r="I51" s="10" cm="1">
        <f t="array" aca="1" ref="I51" ca="1">MAX(0,MIN(1,SUM(TRANSPOSE($B$48:$D$48)*I36:I38)))</f>
        <v>7.9447191832019426E-3</v>
      </c>
      <c r="J51" s="10" cm="1">
        <f t="array" aca="1" ref="J51" ca="1">MAX(0,MIN(1,SUM(TRANSPOSE($B$48:$D$48)*J36:J38)))</f>
        <v>1.3466506591580663E-4</v>
      </c>
      <c r="K51" s="10" cm="1">
        <f t="array" aca="1" ref="K51" ca="1">MAX(0,MIN(1,SUM(TRANSPOSE($B$48:$D$48)*K36:K38)))</f>
        <v>0</v>
      </c>
      <c r="L51" s="10" cm="1">
        <f t="array" aca="1" ref="L51" ca="1">MAX(0,MIN(1,SUM(TRANSPOSE($B$48:$D$48)*L36:L38)))</f>
        <v>0</v>
      </c>
      <c r="M51" s="10" cm="1">
        <f t="array" aca="1" ref="M51" ca="1">MAX(0,MIN(1,SUM(TRANSPOSE($B$48:$D$48)*M36:M38)))</f>
        <v>0</v>
      </c>
      <c r="N51" s="10" cm="1">
        <f t="array" aca="1" ref="N51" ca="1">MAX(0,MIN(1,SUM(TRANSPOSE($B$48:$D$48)*N36:N38)))</f>
        <v>0</v>
      </c>
      <c r="O51" s="10" cm="1">
        <f t="array" aca="1" ref="O51" ca="1">MAX(0,MIN(1,SUM(TRANSPOSE($B$48:$D$48)*O36:O38)))</f>
        <v>0</v>
      </c>
      <c r="P51" s="10" cm="1">
        <f t="array" aca="1" ref="P51" ca="1">MAX(0,MIN(1,SUM(TRANSPOSE($B$48:$D$48)*P36:P38)))</f>
        <v>0</v>
      </c>
      <c r="Q51" s="10" cm="1">
        <f t="array" aca="1" ref="Q51" ca="1">MAX(0,MIN(1,SUM(TRANSPOSE($B$48:$D$48)*Q36:Q38)))</f>
        <v>0</v>
      </c>
      <c r="R51" s="10" cm="1">
        <f t="array" aca="1" ref="R51" ca="1">MAX(0,MIN(1,SUM(TRANSPOSE($B$48:$D$48)*R36:R38)))</f>
        <v>0</v>
      </c>
      <c r="S51" s="10" cm="1">
        <f t="array" aca="1" ref="S51" ca="1">MAX(0,MIN(1,SUM(TRANSPOSE($B$48:$D$48)*S36:S38)))</f>
        <v>0</v>
      </c>
      <c r="T51" s="10" cm="1">
        <f t="array" aca="1" ref="T51" ca="1">MAX(0,MIN(1,SUM(TRANSPOSE($B$48:$D$48)*T36:T38)))</f>
        <v>0</v>
      </c>
      <c r="U51" s="10" cm="1">
        <f t="array" aca="1" ref="U51" ca="1">MAX(0,MIN(1,SUM(TRANSPOSE($B$48:$D$48)*U36:U38)))</f>
        <v>0</v>
      </c>
      <c r="V51" s="10" cm="1">
        <f t="array" aca="1" ref="V51" ca="1">MAX(0,MIN(1,SUM(TRANSPOSE($B$48:$D$48)*V36:V38)))</f>
        <v>0</v>
      </c>
      <c r="W51" s="10" cm="1">
        <f t="array" aca="1" ref="W51" ca="1">MAX(0,MIN(1,SUM(TRANSPOSE($B$48:$D$48)*W36:W38)))</f>
        <v>0</v>
      </c>
      <c r="X51" s="10" cm="1">
        <f t="array" aca="1" ref="X51" ca="1">MAX(0,MIN(1,SUM(TRANSPOSE($B$48:$D$48)*X36:X38)))</f>
        <v>0</v>
      </c>
      <c r="Y51" s="10" cm="1">
        <f t="array" aca="1" ref="Y51" ca="1">MAX(0,MIN(1,SUM(TRANSPOSE($B$48:$D$48)*Y36:Y38)))</f>
        <v>0</v>
      </c>
      <c r="Z51" s="10" cm="1">
        <f t="array" aca="1" ref="Z51" ca="1">MAX(0,MIN(1,SUM(TRANSPOSE($B$48:$D$48)*Z36:Z38)))</f>
        <v>0</v>
      </c>
      <c r="AA51" s="10"/>
      <c r="AB51" s="10"/>
    </row>
    <row r="52" spans="1:28" x14ac:dyDescent="0.35">
      <c r="A52" t="s">
        <v>6</v>
      </c>
      <c r="B52" s="6">
        <f ca="1">C52*(1-B51)</f>
        <v>0.32489474129072171</v>
      </c>
      <c r="C52" s="6">
        <f t="shared" ref="C52:Z52" ca="1" si="16">D52*(1-C51)</f>
        <v>0.59320774021252831</v>
      </c>
      <c r="D52" s="6">
        <f t="shared" ca="1" si="16"/>
        <v>0.73796560406665257</v>
      </c>
      <c r="E52" s="6">
        <f t="shared" ca="1" si="16"/>
        <v>0.83347255247865693</v>
      </c>
      <c r="F52" s="6">
        <f t="shared" ca="1" si="16"/>
        <v>0.8993745084602276</v>
      </c>
      <c r="G52" s="6">
        <f t="shared" ca="1" si="16"/>
        <v>0.9446027176843943</v>
      </c>
      <c r="H52" s="6">
        <f t="shared" ca="1" si="16"/>
        <v>0.97431594495440765</v>
      </c>
      <c r="I52" s="6">
        <f t="shared" ca="1" si="16"/>
        <v>0.99192168562701477</v>
      </c>
      <c r="J52" s="6">
        <f t="shared" ca="1" si="16"/>
        <v>0.99986533493408425</v>
      </c>
      <c r="K52" s="6">
        <f t="shared" ca="1" si="16"/>
        <v>1</v>
      </c>
      <c r="L52" s="6">
        <f t="shared" ca="1" si="16"/>
        <v>1</v>
      </c>
      <c r="M52" s="6">
        <f t="shared" ca="1" si="16"/>
        <v>1</v>
      </c>
      <c r="N52" s="6">
        <f t="shared" ca="1" si="16"/>
        <v>1</v>
      </c>
      <c r="O52" s="6">
        <f t="shared" ca="1" si="16"/>
        <v>1</v>
      </c>
      <c r="P52" s="6">
        <f t="shared" ca="1" si="16"/>
        <v>1</v>
      </c>
      <c r="Q52" s="6">
        <f t="shared" ca="1" si="16"/>
        <v>1</v>
      </c>
      <c r="R52" s="6">
        <f t="shared" ca="1" si="16"/>
        <v>1</v>
      </c>
      <c r="S52" s="6">
        <f t="shared" ca="1" si="16"/>
        <v>1</v>
      </c>
      <c r="T52" s="6">
        <f t="shared" ca="1" si="16"/>
        <v>1</v>
      </c>
      <c r="U52" s="6">
        <f t="shared" ca="1" si="16"/>
        <v>1</v>
      </c>
      <c r="V52" s="6">
        <f t="shared" ca="1" si="16"/>
        <v>1</v>
      </c>
      <c r="W52" s="6">
        <f t="shared" ca="1" si="16"/>
        <v>1</v>
      </c>
      <c r="X52" s="6">
        <f t="shared" ca="1" si="16"/>
        <v>1</v>
      </c>
      <c r="Y52" s="6">
        <f t="shared" ca="1" si="16"/>
        <v>1</v>
      </c>
      <c r="Z52" s="6">
        <f t="shared" ca="1" si="16"/>
        <v>1</v>
      </c>
      <c r="AA52" s="12">
        <v>1</v>
      </c>
    </row>
    <row r="53" spans="1:28" x14ac:dyDescent="0.35">
      <c r="A53" t="s">
        <v>3</v>
      </c>
      <c r="B53" s="4">
        <f ca="1">1/B52</f>
        <v>3.0779199319363002</v>
      </c>
      <c r="C53" s="4">
        <f t="shared" ref="C53:Z53" ca="1" si="17">1/C52</f>
        <v>1.6857500875523479</v>
      </c>
      <c r="D53" s="4">
        <f t="shared" ca="1" si="17"/>
        <v>1.3550767061355893</v>
      </c>
      <c r="E53" s="4">
        <f t="shared" ca="1" si="17"/>
        <v>1.1997995579171845</v>
      </c>
      <c r="F53" s="4">
        <f t="shared" ca="1" si="17"/>
        <v>1.1118838599417813</v>
      </c>
      <c r="G53" s="4">
        <f t="shared" ca="1" si="17"/>
        <v>1.0586461178636104</v>
      </c>
      <c r="H53" s="4">
        <f t="shared" ca="1" si="17"/>
        <v>1.026361115384183</v>
      </c>
      <c r="I53" s="4">
        <f t="shared" ca="1" si="17"/>
        <v>1.0081441050135715</v>
      </c>
      <c r="J53" s="4">
        <f t="shared" ca="1" si="17"/>
        <v>1.0001346832030382</v>
      </c>
      <c r="K53" s="4">
        <f t="shared" ca="1" si="17"/>
        <v>1</v>
      </c>
      <c r="L53" s="4">
        <f t="shared" ca="1" si="17"/>
        <v>1</v>
      </c>
      <c r="M53" s="4">
        <f t="shared" ca="1" si="17"/>
        <v>1</v>
      </c>
      <c r="N53" s="4">
        <f t="shared" ca="1" si="17"/>
        <v>1</v>
      </c>
      <c r="O53" s="4">
        <f t="shared" ca="1" si="17"/>
        <v>1</v>
      </c>
      <c r="P53" s="4">
        <f t="shared" ca="1" si="17"/>
        <v>1</v>
      </c>
      <c r="Q53" s="4">
        <f t="shared" ca="1" si="17"/>
        <v>1</v>
      </c>
      <c r="R53" s="4">
        <f t="shared" ca="1" si="17"/>
        <v>1</v>
      </c>
      <c r="S53" s="4">
        <f t="shared" ca="1" si="17"/>
        <v>1</v>
      </c>
      <c r="T53" s="4">
        <f t="shared" ca="1" si="17"/>
        <v>1</v>
      </c>
      <c r="U53" s="4">
        <f t="shared" ca="1" si="17"/>
        <v>1</v>
      </c>
      <c r="V53" s="4">
        <f t="shared" ca="1" si="17"/>
        <v>1</v>
      </c>
      <c r="W53" s="4">
        <f t="shared" ca="1" si="17"/>
        <v>1</v>
      </c>
      <c r="X53" s="4">
        <f t="shared" ca="1" si="17"/>
        <v>1</v>
      </c>
      <c r="Y53" s="4">
        <f t="shared" ca="1" si="17"/>
        <v>1</v>
      </c>
      <c r="Z53" s="4">
        <f t="shared" ca="1" si="17"/>
        <v>1</v>
      </c>
    </row>
    <row r="54" spans="1:28" x14ac:dyDescent="0.35">
      <c r="A54" t="s">
        <v>2</v>
      </c>
      <c r="B54" s="4">
        <f ca="1">B53/C53</f>
        <v>1.8258459273790315</v>
      </c>
      <c r="C54" s="4">
        <f t="shared" ref="C54:Y54" ca="1" si="18">C53/D53</f>
        <v>1.2440255816659809</v>
      </c>
      <c r="D54" s="4">
        <f t="shared" ca="1" si="18"/>
        <v>1.1294192410672006</v>
      </c>
      <c r="E54" s="4">
        <f t="shared" ca="1" si="18"/>
        <v>1.0790691376525661</v>
      </c>
      <c r="F54" s="4">
        <f t="shared" ca="1" si="18"/>
        <v>1.0502885158504212</v>
      </c>
      <c r="G54" s="4">
        <f t="shared" ca="1" si="18"/>
        <v>1.0314557926985988</v>
      </c>
      <c r="H54" s="4">
        <f t="shared" ca="1" si="18"/>
        <v>1.0180698476339016</v>
      </c>
      <c r="I54" s="4">
        <f t="shared" ca="1" si="18"/>
        <v>1.0080083432212172</v>
      </c>
      <c r="J54" s="4">
        <f t="shared" ca="1" si="18"/>
        <v>1.0001346832030382</v>
      </c>
      <c r="K54" s="4">
        <f t="shared" ca="1" si="18"/>
        <v>1</v>
      </c>
      <c r="L54" s="4">
        <f t="shared" ca="1" si="18"/>
        <v>1</v>
      </c>
      <c r="M54" s="4">
        <f t="shared" ca="1" si="18"/>
        <v>1</v>
      </c>
      <c r="N54" s="4">
        <f t="shared" ca="1" si="18"/>
        <v>1</v>
      </c>
      <c r="O54" s="4">
        <f t="shared" ca="1" si="18"/>
        <v>1</v>
      </c>
      <c r="P54" s="4">
        <f t="shared" ca="1" si="18"/>
        <v>1</v>
      </c>
      <c r="Q54" s="4">
        <f t="shared" ca="1" si="18"/>
        <v>1</v>
      </c>
      <c r="R54" s="4">
        <f t="shared" ca="1" si="18"/>
        <v>1</v>
      </c>
      <c r="S54" s="4">
        <f t="shared" ca="1" si="18"/>
        <v>1</v>
      </c>
      <c r="T54" s="4">
        <f t="shared" ca="1" si="18"/>
        <v>1</v>
      </c>
      <c r="U54" s="4">
        <f t="shared" ca="1" si="18"/>
        <v>1</v>
      </c>
      <c r="V54" s="4">
        <f t="shared" ca="1" si="18"/>
        <v>1</v>
      </c>
      <c r="W54" s="4">
        <f t="shared" ca="1" si="18"/>
        <v>1</v>
      </c>
      <c r="X54" s="4">
        <f t="shared" ca="1" si="18"/>
        <v>1</v>
      </c>
      <c r="Y54" s="4">
        <f t="shared" ca="1" si="18"/>
        <v>1</v>
      </c>
    </row>
    <row r="57" spans="1:28" x14ac:dyDescent="0.35">
      <c r="A57" s="1" t="s">
        <v>19</v>
      </c>
    </row>
    <row r="58" spans="1:28" x14ac:dyDescent="0.35">
      <c r="B58" t="s">
        <v>20</v>
      </c>
      <c r="C58" t="s">
        <v>21</v>
      </c>
    </row>
    <row r="59" spans="1:28" x14ac:dyDescent="0.35">
      <c r="A59" s="9" t="s">
        <v>10</v>
      </c>
      <c r="B59" s="4" cm="1">
        <f t="array" aca="1" ref="B59:C59" ca="1">LINEST(LN(IF(B20:P20&lt;=1,1.0001,B20:P20)-1),LN(B2:P2))</f>
        <v>-4.0921201011967527</v>
      </c>
      <c r="C59" s="4">
        <f ca="1"/>
        <v>11.889609557632173</v>
      </c>
    </row>
    <row r="61" spans="1:28" x14ac:dyDescent="0.35">
      <c r="A61" s="9" t="s">
        <v>11</v>
      </c>
    </row>
    <row r="62" spans="1:28" x14ac:dyDescent="0.35">
      <c r="A62" t="s">
        <v>2</v>
      </c>
      <c r="B62" s="4">
        <f ca="1">EXP($C$59+$B$59*LN(B2))+1</f>
        <v>6.5905244743229829</v>
      </c>
      <c r="C62" s="4">
        <f t="shared" ref="C62:Z62" ca="1" si="19">EXP($C$59+$B$59*LN(C2))+1</f>
        <v>1.3277944957769152</v>
      </c>
      <c r="D62" s="4">
        <f t="shared" ca="1" si="19"/>
        <v>1.0623756487948866</v>
      </c>
      <c r="E62" s="4">
        <f t="shared" ca="1" si="19"/>
        <v>1.0192198839223674</v>
      </c>
      <c r="F62" s="4">
        <f t="shared" ca="1" si="19"/>
        <v>1.0077122899381779</v>
      </c>
      <c r="G62" s="4">
        <f t="shared" ca="1" si="19"/>
        <v>1.0036573302629095</v>
      </c>
      <c r="H62" s="4">
        <f t="shared" ca="1" si="19"/>
        <v>1.001946300418612</v>
      </c>
      <c r="I62" s="4">
        <f t="shared" ca="1" si="19"/>
        <v>1.0011269375866538</v>
      </c>
      <c r="J62" s="4">
        <f t="shared" ca="1" si="19"/>
        <v>1.0006959492942842</v>
      </c>
      <c r="K62" s="4">
        <f t="shared" ca="1" si="19"/>
        <v>1.0004522019719584</v>
      </c>
      <c r="L62" s="4">
        <f t="shared" ca="1" si="19"/>
        <v>1.000306160115392</v>
      </c>
      <c r="M62" s="4">
        <f t="shared" ca="1" si="19"/>
        <v>1.0002144436957439</v>
      </c>
      <c r="N62" s="4">
        <f t="shared" ca="1" si="19"/>
        <v>1.0001545477082883</v>
      </c>
      <c r="O62" s="4">
        <f t="shared" ca="1" si="19"/>
        <v>1.0001141192686447</v>
      </c>
      <c r="P62" s="4">
        <f t="shared" ca="1" si="19"/>
        <v>1.0000860490086034</v>
      </c>
      <c r="Q62" s="4">
        <f t="shared" ca="1" si="19"/>
        <v>1.000066076794706</v>
      </c>
      <c r="R62" s="4">
        <f t="shared" ca="1" si="19"/>
        <v>1.0000515593921184</v>
      </c>
      <c r="S62" s="4">
        <f t="shared" ca="1" si="19"/>
        <v>1.0000408062515518</v>
      </c>
      <c r="T62" s="4">
        <f t="shared" ca="1" si="19"/>
        <v>1.0000327068890822</v>
      </c>
      <c r="U62" s="4">
        <f t="shared" ca="1" si="19"/>
        <v>1.0000265143848432</v>
      </c>
      <c r="V62" s="4">
        <f t="shared" ca="1" si="19"/>
        <v>1.0000217156282776</v>
      </c>
      <c r="W62" s="4">
        <f t="shared" ca="1" si="19"/>
        <v>1.0000179513748868</v>
      </c>
      <c r="X62" s="4">
        <f t="shared" ca="1" si="19"/>
        <v>1.0000149657574713</v>
      </c>
      <c r="Y62" s="4">
        <f t="shared" ca="1" si="19"/>
        <v>1.0000125736795253</v>
      </c>
      <c r="Z62" s="4">
        <f t="shared" ca="1" si="19"/>
        <v>1.0000106393266612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09E9-EFA9-49BF-89FB-E97F486B34FD}">
  <dimension ref="A1:C301"/>
  <sheetViews>
    <sheetView zoomScale="70" zoomScaleNormal="70" workbookViewId="0">
      <selection activeCell="E3" sqref="E3"/>
    </sheetView>
  </sheetViews>
  <sheetFormatPr defaultRowHeight="14.5" x14ac:dyDescent="0.35"/>
  <sheetData>
    <row r="1" spans="1:3" x14ac:dyDescent="0.35">
      <c r="A1" t="s">
        <v>8</v>
      </c>
    </row>
    <row r="2" spans="1:3" x14ac:dyDescent="0.35">
      <c r="A2">
        <v>1</v>
      </c>
      <c r="B2" s="8"/>
      <c r="C2" s="8"/>
    </row>
    <row r="3" spans="1:3" x14ac:dyDescent="0.35">
      <c r="A3">
        <v>2</v>
      </c>
      <c r="B3">
        <v>0.2396431825</v>
      </c>
      <c r="C3" s="8">
        <v>0.87903359999999997</v>
      </c>
    </row>
    <row r="4" spans="1:3" x14ac:dyDescent="0.35">
      <c r="A4">
        <v>3</v>
      </c>
      <c r="B4">
        <v>0.52399692350000004</v>
      </c>
      <c r="C4" s="8">
        <v>0.13744239999999999</v>
      </c>
    </row>
    <row r="5" spans="1:3" x14ac:dyDescent="0.35">
      <c r="A5">
        <v>4</v>
      </c>
      <c r="B5">
        <v>0.53143536830000004</v>
      </c>
      <c r="C5" s="8">
        <v>-3.5297080000000002E-2</v>
      </c>
    </row>
    <row r="6" spans="1:3" x14ac:dyDescent="0.35">
      <c r="A6">
        <v>5</v>
      </c>
      <c r="B6">
        <v>0.502579683</v>
      </c>
      <c r="C6" s="8">
        <v>-9.5049120000000001E-2</v>
      </c>
    </row>
    <row r="7" spans="1:3" x14ac:dyDescent="0.35">
      <c r="A7">
        <v>6</v>
      </c>
      <c r="B7">
        <v>0.47063694350000002</v>
      </c>
      <c r="C7" s="8">
        <v>-0.1195746</v>
      </c>
    </row>
    <row r="8" spans="1:3" x14ac:dyDescent="0.35">
      <c r="A8">
        <v>7</v>
      </c>
      <c r="B8">
        <v>0.4414547083</v>
      </c>
      <c r="C8" s="8">
        <v>-0.13010669999999999</v>
      </c>
    </row>
    <row r="9" spans="1:3" x14ac:dyDescent="0.35">
      <c r="A9">
        <v>8</v>
      </c>
      <c r="B9">
        <v>0.41580566060000002</v>
      </c>
      <c r="C9" s="8">
        <v>-0.1342285</v>
      </c>
    </row>
    <row r="10" spans="1:3" x14ac:dyDescent="0.35">
      <c r="A10">
        <v>9</v>
      </c>
      <c r="B10">
        <v>0.39338404970000002</v>
      </c>
      <c r="C10" s="8">
        <v>-0.13514200000000001</v>
      </c>
    </row>
    <row r="11" spans="1:3" x14ac:dyDescent="0.35">
      <c r="A11">
        <v>10</v>
      </c>
      <c r="B11">
        <v>0.37370090560000002</v>
      </c>
      <c r="C11" s="8">
        <v>-0.13436200000000001</v>
      </c>
    </row>
    <row r="12" spans="1:3" x14ac:dyDescent="0.35">
      <c r="A12">
        <v>11</v>
      </c>
      <c r="B12">
        <v>0.3562988647</v>
      </c>
      <c r="C12" s="8">
        <v>-0.1326648</v>
      </c>
    </row>
    <row r="13" spans="1:3" x14ac:dyDescent="0.35">
      <c r="A13">
        <v>12</v>
      </c>
      <c r="B13">
        <v>0.34079527910000001</v>
      </c>
      <c r="C13" s="8">
        <v>-0.13047259999999999</v>
      </c>
    </row>
    <row r="14" spans="1:3" x14ac:dyDescent="0.35">
      <c r="A14">
        <v>13</v>
      </c>
      <c r="B14">
        <v>0.3268804045</v>
      </c>
      <c r="C14" s="8">
        <v>-0.12802469999999999</v>
      </c>
    </row>
    <row r="15" spans="1:3" x14ac:dyDescent="0.35">
      <c r="A15">
        <v>14</v>
      </c>
      <c r="B15">
        <v>0.31430542579999998</v>
      </c>
      <c r="C15" s="8">
        <v>-0.12546109999999999</v>
      </c>
    </row>
    <row r="16" spans="1:3" x14ac:dyDescent="0.35">
      <c r="A16">
        <v>15</v>
      </c>
      <c r="B16">
        <v>0.3028700285</v>
      </c>
      <c r="C16" s="8">
        <v>-0.122865</v>
      </c>
    </row>
    <row r="17" spans="1:3" x14ac:dyDescent="0.35">
      <c r="A17">
        <v>16</v>
      </c>
      <c r="B17">
        <v>0.29241192240000002</v>
      </c>
      <c r="C17" s="8">
        <v>-0.1202864</v>
      </c>
    </row>
    <row r="18" spans="1:3" x14ac:dyDescent="0.35">
      <c r="A18">
        <v>17</v>
      </c>
      <c r="B18">
        <v>0.28279857250000001</v>
      </c>
      <c r="C18" s="8">
        <v>-0.1177552</v>
      </c>
    </row>
    <row r="19" spans="1:3" x14ac:dyDescent="0.35">
      <c r="A19">
        <v>18</v>
      </c>
      <c r="B19">
        <v>0.27392082420000002</v>
      </c>
      <c r="C19" s="8">
        <v>-0.1152886</v>
      </c>
    </row>
    <row r="20" spans="1:3" x14ac:dyDescent="0.35">
      <c r="A20">
        <v>19</v>
      </c>
      <c r="B20">
        <v>0.26568801889999999</v>
      </c>
      <c r="C20" s="8">
        <v>-0.1128962</v>
      </c>
    </row>
    <row r="21" spans="1:3" x14ac:dyDescent="0.35">
      <c r="A21">
        <v>20</v>
      </c>
      <c r="B21">
        <v>0.25802424709999999</v>
      </c>
      <c r="C21" s="8">
        <v>-0.1105826</v>
      </c>
    </row>
    <row r="22" spans="1:3" x14ac:dyDescent="0.35">
      <c r="A22">
        <v>21</v>
      </c>
      <c r="B22">
        <v>0.25086545799999999</v>
      </c>
      <c r="C22" s="8">
        <v>-0.1083491</v>
      </c>
    </row>
    <row r="23" spans="1:3" x14ac:dyDescent="0.35">
      <c r="A23">
        <v>22</v>
      </c>
      <c r="B23">
        <v>0.24415721500000001</v>
      </c>
      <c r="C23" s="8">
        <v>-0.10619530000000001</v>
      </c>
    </row>
    <row r="24" spans="1:3" x14ac:dyDescent="0.35">
      <c r="A24">
        <v>23</v>
      </c>
      <c r="B24">
        <v>0.2378529388</v>
      </c>
      <c r="C24" s="8">
        <v>-0.1041194</v>
      </c>
    </row>
    <row r="25" spans="1:3" x14ac:dyDescent="0.35">
      <c r="A25">
        <v>24</v>
      </c>
      <c r="B25">
        <v>0.23191252109999999</v>
      </c>
      <c r="C25" s="8">
        <v>-0.1021188</v>
      </c>
    </row>
    <row r="26" spans="1:3" x14ac:dyDescent="0.35">
      <c r="A26">
        <v>25</v>
      </c>
      <c r="B26">
        <v>0.2263012214</v>
      </c>
      <c r="C26" s="8">
        <v>-0.10019069999999999</v>
      </c>
    </row>
    <row r="27" spans="1:3" x14ac:dyDescent="0.35">
      <c r="A27">
        <v>26</v>
      </c>
      <c r="B27">
        <v>0.22098878350000001</v>
      </c>
      <c r="C27" s="8">
        <v>-9.8331699999999994E-2</v>
      </c>
    </row>
    <row r="28" spans="1:3" x14ac:dyDescent="0.35">
      <c r="A28">
        <v>27</v>
      </c>
      <c r="B28">
        <v>0.21594872079999999</v>
      </c>
      <c r="C28" s="8">
        <v>-9.6538739999999998E-2</v>
      </c>
    </row>
    <row r="29" spans="1:3" x14ac:dyDescent="0.35">
      <c r="A29">
        <v>28</v>
      </c>
      <c r="B29">
        <v>0.2111577359</v>
      </c>
      <c r="C29" s="8">
        <v>-9.4808569999999995E-2</v>
      </c>
    </row>
    <row r="30" spans="1:3" x14ac:dyDescent="0.35">
      <c r="A30">
        <v>29</v>
      </c>
      <c r="B30">
        <v>0.20659524400000001</v>
      </c>
      <c r="C30" s="8">
        <v>-9.3138040000000005E-2</v>
      </c>
    </row>
    <row r="31" spans="1:3" x14ac:dyDescent="0.35">
      <c r="A31">
        <v>30</v>
      </c>
      <c r="B31">
        <v>0.2022429811</v>
      </c>
      <c r="C31" s="8">
        <v>-9.1524149999999999E-2</v>
      </c>
    </row>
    <row r="32" spans="1:3" x14ac:dyDescent="0.35">
      <c r="A32">
        <v>31</v>
      </c>
      <c r="B32">
        <v>0.1980846782</v>
      </c>
      <c r="C32" s="8">
        <v>-8.9963979999999999E-2</v>
      </c>
    </row>
    <row r="33" spans="1:3" x14ac:dyDescent="0.35">
      <c r="A33">
        <v>32</v>
      </c>
      <c r="B33">
        <v>0.1941057897</v>
      </c>
      <c r="C33" s="8">
        <v>-8.84548E-2</v>
      </c>
    </row>
    <row r="34" spans="1:3" x14ac:dyDescent="0.35">
      <c r="A34">
        <v>33</v>
      </c>
      <c r="B34">
        <v>0.19029326569999999</v>
      </c>
      <c r="C34" s="8">
        <v>-8.6994009999999997E-2</v>
      </c>
    </row>
    <row r="35" spans="1:3" x14ac:dyDescent="0.35">
      <c r="A35">
        <v>34</v>
      </c>
      <c r="B35">
        <v>0.1866353593</v>
      </c>
      <c r="C35" s="8">
        <v>-8.5579160000000001E-2</v>
      </c>
    </row>
    <row r="36" spans="1:3" x14ac:dyDescent="0.35">
      <c r="A36">
        <v>35</v>
      </c>
      <c r="B36">
        <v>0.18312146430000001</v>
      </c>
      <c r="C36" s="8">
        <v>-8.4207939999999995E-2</v>
      </c>
    </row>
    <row r="37" spans="1:3" x14ac:dyDescent="0.35">
      <c r="A37">
        <v>36</v>
      </c>
      <c r="B37">
        <v>0.17974197580000001</v>
      </c>
      <c r="C37" s="8">
        <v>-8.2878170000000001E-2</v>
      </c>
    </row>
    <row r="38" spans="1:3" x14ac:dyDescent="0.35">
      <c r="A38">
        <v>37</v>
      </c>
      <c r="B38">
        <v>0.17648817219999999</v>
      </c>
      <c r="C38" s="8">
        <v>-8.158783E-2</v>
      </c>
    </row>
    <row r="39" spans="1:3" x14ac:dyDescent="0.35">
      <c r="A39">
        <v>38</v>
      </c>
      <c r="B39">
        <v>0.17335211270000001</v>
      </c>
      <c r="C39" s="8">
        <v>-8.0334989999999995E-2</v>
      </c>
    </row>
    <row r="40" spans="1:3" x14ac:dyDescent="0.35">
      <c r="A40">
        <v>39</v>
      </c>
      <c r="B40">
        <v>0.17032654950000001</v>
      </c>
      <c r="C40" s="8">
        <v>-7.9117859999999998E-2</v>
      </c>
    </row>
    <row r="41" spans="1:3" x14ac:dyDescent="0.35">
      <c r="A41">
        <v>40</v>
      </c>
      <c r="B41">
        <v>0.1674048518</v>
      </c>
      <c r="C41" s="8">
        <v>-7.7934760000000006E-2</v>
      </c>
    </row>
    <row r="42" spans="1:3" x14ac:dyDescent="0.35">
      <c r="A42">
        <v>41</v>
      </c>
      <c r="B42">
        <v>0.16458093970000001</v>
      </c>
      <c r="C42" s="8">
        <v>-7.6784089999999999E-2</v>
      </c>
    </row>
    <row r="43" spans="1:3" x14ac:dyDescent="0.35">
      <c r="A43">
        <v>42</v>
      </c>
      <c r="B43">
        <v>0.1618492262</v>
      </c>
      <c r="C43" s="8">
        <v>-7.5664380000000003E-2</v>
      </c>
    </row>
    <row r="44" spans="1:3" x14ac:dyDescent="0.35">
      <c r="A44">
        <v>43</v>
      </c>
      <c r="B44">
        <v>0.15920456690000001</v>
      </c>
      <c r="C44" s="8">
        <v>-7.4574219999999997E-2</v>
      </c>
    </row>
    <row r="45" spans="1:3" x14ac:dyDescent="0.35">
      <c r="A45">
        <v>44</v>
      </c>
      <c r="B45">
        <v>0.156642216</v>
      </c>
      <c r="C45" s="8">
        <v>-7.3512300000000003E-2</v>
      </c>
    </row>
    <row r="46" spans="1:3" x14ac:dyDescent="0.35">
      <c r="A46">
        <v>45</v>
      </c>
      <c r="B46">
        <v>0.15415778690000001</v>
      </c>
      <c r="C46" s="8">
        <v>-7.2477379999999994E-2</v>
      </c>
    </row>
    <row r="47" spans="1:3" x14ac:dyDescent="0.35">
      <c r="A47">
        <v>46</v>
      </c>
      <c r="B47">
        <v>0.15174721790000001</v>
      </c>
      <c r="C47" s="8">
        <v>-7.1468290000000004E-2</v>
      </c>
    </row>
    <row r="48" spans="1:3" x14ac:dyDescent="0.35">
      <c r="A48">
        <v>47</v>
      </c>
      <c r="B48">
        <v>0.14940674179999999</v>
      </c>
      <c r="C48" s="8">
        <v>-7.0483950000000004E-2</v>
      </c>
    </row>
    <row r="49" spans="1:3" x14ac:dyDescent="0.35">
      <c r="A49">
        <v>48</v>
      </c>
      <c r="B49">
        <v>0.14713285910000001</v>
      </c>
      <c r="C49" s="8">
        <v>-6.952332E-2</v>
      </c>
    </row>
    <row r="50" spans="1:3" x14ac:dyDescent="0.35">
      <c r="A50">
        <v>49</v>
      </c>
      <c r="B50">
        <v>0.14492231329999999</v>
      </c>
      <c r="C50" s="8">
        <v>-6.8585409999999999E-2</v>
      </c>
    </row>
    <row r="51" spans="1:3" x14ac:dyDescent="0.35">
      <c r="A51">
        <v>50</v>
      </c>
      <c r="B51">
        <v>0.14277207019999999</v>
      </c>
      <c r="C51" s="8">
        <v>-6.7669320000000005E-2</v>
      </c>
    </row>
    <row r="52" spans="1:3" x14ac:dyDescent="0.35">
      <c r="A52">
        <v>51</v>
      </c>
      <c r="B52">
        <v>0.14067929800000001</v>
      </c>
      <c r="C52" s="8">
        <v>-6.6774159999999999E-2</v>
      </c>
    </row>
    <row r="53" spans="1:3" x14ac:dyDescent="0.35">
      <c r="A53">
        <v>52</v>
      </c>
      <c r="B53">
        <v>0.1386413507</v>
      </c>
      <c r="C53" s="8">
        <v>-6.5899120000000005E-2</v>
      </c>
    </row>
    <row r="54" spans="1:3" x14ac:dyDescent="0.35">
      <c r="A54">
        <v>53</v>
      </c>
      <c r="B54">
        <v>0.1366557524</v>
      </c>
      <c r="C54" s="8">
        <v>-6.5043420000000005E-2</v>
      </c>
    </row>
    <row r="55" spans="1:3" x14ac:dyDescent="0.35">
      <c r="A55">
        <v>54</v>
      </c>
      <c r="B55">
        <v>0.13472018329999999</v>
      </c>
      <c r="C55" s="8">
        <v>-6.4206319999999997E-2</v>
      </c>
    </row>
    <row r="56" spans="1:3" x14ac:dyDescent="0.35">
      <c r="A56">
        <v>55</v>
      </c>
      <c r="B56">
        <v>0.13283246730000001</v>
      </c>
      <c r="C56" s="8">
        <v>-6.3387120000000005E-2</v>
      </c>
    </row>
    <row r="57" spans="1:3" x14ac:dyDescent="0.35">
      <c r="A57">
        <v>56</v>
      </c>
      <c r="B57">
        <v>0.13099056079999999</v>
      </c>
      <c r="C57" s="8">
        <v>-6.2585160000000001E-2</v>
      </c>
    </row>
    <row r="58" spans="1:3" x14ac:dyDescent="0.35">
      <c r="A58">
        <v>57</v>
      </c>
      <c r="B58">
        <v>0.1291925421</v>
      </c>
      <c r="C58" s="8">
        <v>-6.1799819999999998E-2</v>
      </c>
    </row>
    <row r="59" spans="1:3" x14ac:dyDescent="0.35">
      <c r="A59">
        <v>58</v>
      </c>
      <c r="B59">
        <v>0.1274366025</v>
      </c>
      <c r="C59" s="8">
        <v>-6.1030479999999998E-2</v>
      </c>
    </row>
    <row r="60" spans="1:3" x14ac:dyDescent="0.35">
      <c r="A60">
        <v>59</v>
      </c>
      <c r="B60">
        <v>0.12572103770000001</v>
      </c>
      <c r="C60" s="8">
        <v>-6.02766E-2</v>
      </c>
    </row>
    <row r="61" spans="1:3" x14ac:dyDescent="0.35">
      <c r="A61">
        <v>60</v>
      </c>
      <c r="B61">
        <v>0.12404424</v>
      </c>
      <c r="C61" s="8">
        <v>-5.9537619999999999E-2</v>
      </c>
    </row>
    <row r="62" spans="1:3" x14ac:dyDescent="0.35">
      <c r="A62">
        <v>61</v>
      </c>
      <c r="B62">
        <v>0.1224046917</v>
      </c>
      <c r="C62" s="8">
        <v>-5.8813039999999997E-2</v>
      </c>
    </row>
    <row r="63" spans="1:3" x14ac:dyDescent="0.35">
      <c r="A63">
        <v>62</v>
      </c>
      <c r="B63">
        <v>0.120800958</v>
      </c>
      <c r="C63" s="8">
        <v>-5.810237E-2</v>
      </c>
    </row>
    <row r="64" spans="1:3" x14ac:dyDescent="0.35">
      <c r="A64">
        <v>63</v>
      </c>
      <c r="B64">
        <v>0.1192316821</v>
      </c>
      <c r="C64" s="8">
        <v>-5.7405129999999999E-2</v>
      </c>
    </row>
    <row r="65" spans="1:3" x14ac:dyDescent="0.35">
      <c r="A65">
        <v>64</v>
      </c>
      <c r="B65">
        <v>0.11769557899999999</v>
      </c>
      <c r="C65" s="8">
        <v>-5.6720899999999998E-2</v>
      </c>
    </row>
    <row r="66" spans="1:3" x14ac:dyDescent="0.35">
      <c r="A66">
        <v>65</v>
      </c>
      <c r="B66">
        <v>0.11619143110000001</v>
      </c>
      <c r="C66" s="8">
        <v>-5.604924E-2</v>
      </c>
    </row>
    <row r="67" spans="1:3" x14ac:dyDescent="0.35">
      <c r="A67">
        <v>66</v>
      </c>
      <c r="B67">
        <v>0.11471808360000001</v>
      </c>
      <c r="C67" s="8">
        <v>-5.538974E-2</v>
      </c>
    </row>
    <row r="68" spans="1:3" x14ac:dyDescent="0.35">
      <c r="A68">
        <v>67</v>
      </c>
      <c r="B68">
        <v>0.1132744403</v>
      </c>
      <c r="C68" s="8">
        <v>-5.4742039999999999E-2</v>
      </c>
    </row>
    <row r="69" spans="1:3" x14ac:dyDescent="0.35">
      <c r="A69">
        <v>68</v>
      </c>
      <c r="B69">
        <v>0.11185945980000001</v>
      </c>
      <c r="C69" s="8">
        <v>-5.4105739999999999E-2</v>
      </c>
    </row>
    <row r="70" spans="1:3" x14ac:dyDescent="0.35">
      <c r="A70">
        <v>69</v>
      </c>
      <c r="B70">
        <v>0.110472152</v>
      </c>
      <c r="C70" s="8">
        <v>-5.3480510000000002E-2</v>
      </c>
    </row>
    <row r="71" spans="1:3" x14ac:dyDescent="0.35">
      <c r="A71">
        <v>70</v>
      </c>
      <c r="B71">
        <v>0.1091115752</v>
      </c>
      <c r="C71" s="8">
        <v>-5.2866009999999998E-2</v>
      </c>
    </row>
    <row r="72" spans="1:3" x14ac:dyDescent="0.35">
      <c r="A72">
        <v>71</v>
      </c>
      <c r="B72">
        <v>0.1077768323</v>
      </c>
      <c r="C72" s="8">
        <v>-5.2261910000000002E-2</v>
      </c>
    </row>
    <row r="73" spans="1:3" x14ac:dyDescent="0.35">
      <c r="A73">
        <v>72</v>
      </c>
      <c r="B73">
        <v>0.106467069</v>
      </c>
      <c r="C73" s="8">
        <v>-5.1667900000000003E-2</v>
      </c>
    </row>
    <row r="74" spans="1:3" x14ac:dyDescent="0.35">
      <c r="A74">
        <v>73</v>
      </c>
      <c r="B74">
        <v>0.10518147059999999</v>
      </c>
      <c r="C74" s="8">
        <v>-5.1083679999999999E-2</v>
      </c>
    </row>
    <row r="75" spans="1:3" x14ac:dyDescent="0.35">
      <c r="A75">
        <v>74</v>
      </c>
      <c r="B75">
        <v>0.1039192597</v>
      </c>
      <c r="C75" s="8">
        <v>-5.0508980000000002E-2</v>
      </c>
    </row>
    <row r="76" spans="1:3" x14ac:dyDescent="0.35">
      <c r="A76">
        <v>75</v>
      </c>
      <c r="B76">
        <v>0.10267969439999999</v>
      </c>
      <c r="C76" s="8">
        <v>-4.9943519999999998E-2</v>
      </c>
    </row>
    <row r="77" spans="1:3" x14ac:dyDescent="0.35">
      <c r="A77">
        <v>76</v>
      </c>
      <c r="B77">
        <v>0.10146206570000001</v>
      </c>
      <c r="C77" s="8">
        <v>-4.938704E-2</v>
      </c>
    </row>
    <row r="78" spans="1:3" x14ac:dyDescent="0.35">
      <c r="A78">
        <v>77</v>
      </c>
      <c r="B78">
        <v>0.100265696</v>
      </c>
      <c r="C78" s="8">
        <v>-4.883929E-2</v>
      </c>
    </row>
    <row r="79" spans="1:3" x14ac:dyDescent="0.35">
      <c r="A79">
        <v>78</v>
      </c>
      <c r="B79">
        <v>9.90899373E-2</v>
      </c>
      <c r="C79" s="8">
        <v>-4.8300019999999999E-2</v>
      </c>
    </row>
    <row r="80" spans="1:3" x14ac:dyDescent="0.35">
      <c r="A80">
        <v>79</v>
      </c>
      <c r="B80">
        <v>9.7934169299999999E-2</v>
      </c>
      <c r="C80" s="8">
        <v>-4.7768999999999999E-2</v>
      </c>
    </row>
    <row r="81" spans="1:3" x14ac:dyDescent="0.35">
      <c r="A81">
        <v>80</v>
      </c>
      <c r="B81">
        <v>9.6797798099999999E-2</v>
      </c>
      <c r="C81" s="8">
        <v>-4.724602E-2</v>
      </c>
    </row>
    <row r="82" spans="1:3" x14ac:dyDescent="0.35">
      <c r="A82">
        <v>81</v>
      </c>
      <c r="B82">
        <v>9.5680254699999995E-2</v>
      </c>
      <c r="C82" s="8">
        <v>-4.6730859999999999E-2</v>
      </c>
    </row>
    <row r="83" spans="1:3" x14ac:dyDescent="0.35">
      <c r="A83">
        <v>82</v>
      </c>
      <c r="B83">
        <v>9.4580993599999996E-2</v>
      </c>
      <c r="C83" s="8">
        <v>-4.6223300000000002E-2</v>
      </c>
    </row>
    <row r="84" spans="1:3" x14ac:dyDescent="0.35">
      <c r="A84">
        <v>83</v>
      </c>
      <c r="B84">
        <v>9.3499491599999998E-2</v>
      </c>
      <c r="C84" s="8">
        <v>-4.5723159999999999E-2</v>
      </c>
    </row>
    <row r="85" spans="1:3" x14ac:dyDescent="0.35">
      <c r="A85">
        <v>84</v>
      </c>
      <c r="B85">
        <v>9.2435246900000004E-2</v>
      </c>
      <c r="C85" s="8">
        <v>-4.5230230000000003E-2</v>
      </c>
    </row>
    <row r="86" spans="1:3" x14ac:dyDescent="0.35">
      <c r="A86">
        <v>85</v>
      </c>
      <c r="B86">
        <v>9.13877773E-2</v>
      </c>
      <c r="C86" s="8">
        <v>-4.4744350000000002E-2</v>
      </c>
    </row>
    <row r="87" spans="1:3" x14ac:dyDescent="0.35">
      <c r="A87">
        <v>86</v>
      </c>
      <c r="B87">
        <v>9.0356619999999999E-2</v>
      </c>
      <c r="C87" s="8">
        <v>-4.4265319999999997E-2</v>
      </c>
    </row>
    <row r="88" spans="1:3" x14ac:dyDescent="0.35">
      <c r="A88">
        <v>87</v>
      </c>
      <c r="B88">
        <v>8.9341329900000002E-2</v>
      </c>
      <c r="C88" s="8">
        <v>-4.3792980000000002E-2</v>
      </c>
    </row>
    <row r="89" spans="1:3" x14ac:dyDescent="0.35">
      <c r="A89">
        <v>88</v>
      </c>
      <c r="B89">
        <v>8.83414795E-2</v>
      </c>
      <c r="C89" s="8">
        <v>-4.3327160000000003E-2</v>
      </c>
    </row>
    <row r="90" spans="1:3" x14ac:dyDescent="0.35">
      <c r="A90">
        <v>89</v>
      </c>
      <c r="B90">
        <v>8.7356657200000007E-2</v>
      </c>
      <c r="C90" s="8">
        <v>-4.2867700000000002E-2</v>
      </c>
    </row>
    <row r="91" spans="1:3" x14ac:dyDescent="0.35">
      <c r="A91">
        <v>90</v>
      </c>
      <c r="B91">
        <v>8.6386466999999995E-2</v>
      </c>
      <c r="C91" s="8">
        <v>-4.2414449999999999E-2</v>
      </c>
    </row>
    <row r="92" spans="1:3" x14ac:dyDescent="0.35">
      <c r="A92">
        <v>91</v>
      </c>
      <c r="B92">
        <v>8.5430527800000003E-2</v>
      </c>
      <c r="C92" s="8">
        <v>-4.1967259999999999E-2</v>
      </c>
    </row>
    <row r="93" spans="1:3" x14ac:dyDescent="0.35">
      <c r="A93">
        <v>92</v>
      </c>
      <c r="B93">
        <v>8.44884724E-2</v>
      </c>
      <c r="C93" s="8">
        <v>-4.1525989999999999E-2</v>
      </c>
    </row>
    <row r="94" spans="1:3" x14ac:dyDescent="0.35">
      <c r="A94">
        <v>93</v>
      </c>
      <c r="B94">
        <v>8.3559947100000004E-2</v>
      </c>
      <c r="C94" s="8">
        <v>-4.1090500000000002E-2</v>
      </c>
    </row>
    <row r="95" spans="1:3" x14ac:dyDescent="0.35">
      <c r="A95">
        <v>94</v>
      </c>
      <c r="B95">
        <v>8.2644610699999996E-2</v>
      </c>
      <c r="C95" s="8">
        <v>-4.0660639999999998E-2</v>
      </c>
    </row>
    <row r="96" spans="1:3" x14ac:dyDescent="0.35">
      <c r="A96">
        <v>95</v>
      </c>
      <c r="B96">
        <v>8.1742134499999994E-2</v>
      </c>
      <c r="C96" s="8">
        <v>-4.0236309999999997E-2</v>
      </c>
    </row>
    <row r="97" spans="1:3" x14ac:dyDescent="0.35">
      <c r="A97">
        <v>96</v>
      </c>
      <c r="B97">
        <v>8.0852201200000001E-2</v>
      </c>
      <c r="C97" s="8">
        <v>-3.9817350000000001E-2</v>
      </c>
    </row>
    <row r="98" spans="1:3" x14ac:dyDescent="0.35">
      <c r="A98">
        <v>97</v>
      </c>
      <c r="B98">
        <v>7.9974504599999996E-2</v>
      </c>
      <c r="C98" s="8">
        <v>-3.9403670000000002E-2</v>
      </c>
    </row>
    <row r="99" spans="1:3" x14ac:dyDescent="0.35">
      <c r="A99">
        <v>98</v>
      </c>
      <c r="B99">
        <v>7.9108749199999995E-2</v>
      </c>
      <c r="C99" s="8">
        <v>-3.8995130000000003E-2</v>
      </c>
    </row>
    <row r="100" spans="1:3" x14ac:dyDescent="0.35">
      <c r="A100">
        <v>99</v>
      </c>
      <c r="B100">
        <v>7.8254649400000001E-2</v>
      </c>
      <c r="C100" s="8">
        <v>-3.8591630000000002E-2</v>
      </c>
    </row>
    <row r="101" spans="1:3" x14ac:dyDescent="0.35">
      <c r="A101">
        <v>100</v>
      </c>
      <c r="B101">
        <v>7.7411929500000004E-2</v>
      </c>
      <c r="C101" s="8">
        <v>-3.8193060000000001E-2</v>
      </c>
    </row>
    <row r="102" spans="1:3" x14ac:dyDescent="0.35">
      <c r="A102">
        <v>101</v>
      </c>
      <c r="B102">
        <v>7.6580322899999997E-2</v>
      </c>
      <c r="C102" s="8">
        <v>-3.7799300000000001E-2</v>
      </c>
    </row>
    <row r="103" spans="1:3" x14ac:dyDescent="0.35">
      <c r="A103">
        <v>102</v>
      </c>
      <c r="B103">
        <v>7.5759571900000003E-2</v>
      </c>
      <c r="C103" s="8">
        <v>-3.7410249999999999E-2</v>
      </c>
    </row>
    <row r="104" spans="1:3" x14ac:dyDescent="0.35">
      <c r="A104">
        <v>103</v>
      </c>
      <c r="B104">
        <v>7.4949427200000002E-2</v>
      </c>
      <c r="C104" s="8">
        <v>-3.7025820000000001E-2</v>
      </c>
    </row>
    <row r="105" spans="1:3" x14ac:dyDescent="0.35">
      <c r="A105">
        <v>104</v>
      </c>
      <c r="B105">
        <v>7.4149647700000001E-2</v>
      </c>
      <c r="C105" s="8">
        <v>-3.6645909999999997E-2</v>
      </c>
    </row>
    <row r="106" spans="1:3" x14ac:dyDescent="0.35">
      <c r="A106">
        <v>105</v>
      </c>
      <c r="B106">
        <v>7.3360000100000003E-2</v>
      </c>
      <c r="C106" s="8">
        <v>-3.6270410000000003E-2</v>
      </c>
    </row>
    <row r="107" spans="1:3" x14ac:dyDescent="0.35">
      <c r="A107">
        <v>106</v>
      </c>
      <c r="B107">
        <v>7.25802584E-2</v>
      </c>
      <c r="C107" s="8">
        <v>-3.5899250000000001E-2</v>
      </c>
    </row>
    <row r="108" spans="1:3" x14ac:dyDescent="0.35">
      <c r="A108">
        <v>107</v>
      </c>
      <c r="B108">
        <v>7.18102038E-2</v>
      </c>
      <c r="C108" s="8">
        <v>-3.5532330000000001E-2</v>
      </c>
    </row>
    <row r="109" spans="1:3" x14ac:dyDescent="0.35">
      <c r="A109">
        <v>108</v>
      </c>
      <c r="B109">
        <v>7.1049624500000005E-2</v>
      </c>
      <c r="C109" s="8">
        <v>-3.5169560000000002E-2</v>
      </c>
    </row>
    <row r="110" spans="1:3" x14ac:dyDescent="0.35">
      <c r="A110">
        <v>109</v>
      </c>
      <c r="B110">
        <v>7.0298315099999995E-2</v>
      </c>
      <c r="C110" s="8">
        <v>-3.4810870000000001E-2</v>
      </c>
    </row>
    <row r="111" spans="1:3" x14ac:dyDescent="0.35">
      <c r="A111">
        <v>110</v>
      </c>
      <c r="B111">
        <v>6.9556076499999994E-2</v>
      </c>
      <c r="C111" s="8">
        <v>-3.445616E-2</v>
      </c>
    </row>
    <row r="112" spans="1:3" x14ac:dyDescent="0.35">
      <c r="A112">
        <v>111</v>
      </c>
      <c r="B112">
        <v>6.8822715800000003E-2</v>
      </c>
      <c r="C112" s="8">
        <v>-3.4105370000000003E-2</v>
      </c>
    </row>
    <row r="113" spans="1:3" x14ac:dyDescent="0.35">
      <c r="A113">
        <v>112</v>
      </c>
      <c r="B113">
        <v>6.8098045900000001E-2</v>
      </c>
      <c r="C113" s="8">
        <v>-3.3758400000000001E-2</v>
      </c>
    </row>
    <row r="114" spans="1:3" x14ac:dyDescent="0.35">
      <c r="A114">
        <v>113</v>
      </c>
      <c r="B114">
        <v>6.7381885200000005E-2</v>
      </c>
      <c r="C114" s="8">
        <v>-3.3415199999999999E-2</v>
      </c>
    </row>
    <row r="115" spans="1:3" x14ac:dyDescent="0.35">
      <c r="A115">
        <v>114</v>
      </c>
      <c r="B115">
        <v>6.6674057600000003E-2</v>
      </c>
      <c r="C115" s="8">
        <v>-3.3075689999999998E-2</v>
      </c>
    </row>
    <row r="116" spans="1:3" x14ac:dyDescent="0.35">
      <c r="A116">
        <v>115</v>
      </c>
      <c r="B116">
        <v>6.5974392000000007E-2</v>
      </c>
      <c r="C116" s="8">
        <v>-3.2739789999999998E-2</v>
      </c>
    </row>
    <row r="117" spans="1:3" x14ac:dyDescent="0.35">
      <c r="A117">
        <v>116</v>
      </c>
      <c r="B117">
        <v>6.5282722500000001E-2</v>
      </c>
      <c r="C117" s="8">
        <v>-3.2407430000000001E-2</v>
      </c>
    </row>
    <row r="118" spans="1:3" x14ac:dyDescent="0.35">
      <c r="A118">
        <v>117</v>
      </c>
      <c r="B118">
        <v>6.4598887800000004E-2</v>
      </c>
      <c r="C118" s="8">
        <v>-3.2078559999999999E-2</v>
      </c>
    </row>
    <row r="119" spans="1:3" x14ac:dyDescent="0.35">
      <c r="A119">
        <v>118</v>
      </c>
      <c r="B119">
        <v>6.3922731499999996E-2</v>
      </c>
      <c r="C119" s="8">
        <v>-3.1753099999999999E-2</v>
      </c>
    </row>
    <row r="120" spans="1:3" x14ac:dyDescent="0.35">
      <c r="A120">
        <v>119</v>
      </c>
      <c r="B120">
        <v>6.3254101199999996E-2</v>
      </c>
      <c r="C120" s="8">
        <v>-3.1431000000000001E-2</v>
      </c>
    </row>
    <row r="121" spans="1:3" x14ac:dyDescent="0.35">
      <c r="A121">
        <v>120</v>
      </c>
      <c r="B121">
        <v>6.2592849300000003E-2</v>
      </c>
      <c r="C121" s="8">
        <v>-3.111218E-2</v>
      </c>
    </row>
    <row r="122" spans="1:3" x14ac:dyDescent="0.35">
      <c r="A122">
        <v>121</v>
      </c>
      <c r="B122">
        <v>6.1938831799999997E-2</v>
      </c>
      <c r="C122" s="8">
        <v>-3.0796589999999999E-2</v>
      </c>
    </row>
    <row r="123" spans="1:3" x14ac:dyDescent="0.35">
      <c r="A123">
        <v>122</v>
      </c>
      <c r="B123">
        <v>6.12919091E-2</v>
      </c>
      <c r="C123" s="8">
        <v>-3.048418E-2</v>
      </c>
    </row>
    <row r="124" spans="1:3" x14ac:dyDescent="0.35">
      <c r="A124">
        <v>123</v>
      </c>
      <c r="B124">
        <v>6.0651945300000003E-2</v>
      </c>
      <c r="C124" s="8">
        <v>-3.0174880000000001E-2</v>
      </c>
    </row>
    <row r="125" spans="1:3" x14ac:dyDescent="0.35">
      <c r="A125">
        <v>124</v>
      </c>
      <c r="B125">
        <v>6.0018808100000001E-2</v>
      </c>
      <c r="C125" s="8">
        <v>-2.9868639999999998E-2</v>
      </c>
    </row>
    <row r="126" spans="1:3" x14ac:dyDescent="0.35">
      <c r="A126">
        <v>125</v>
      </c>
      <c r="B126">
        <v>5.9392368899999999E-2</v>
      </c>
      <c r="C126" s="8">
        <v>-2.9565399999999999E-2</v>
      </c>
    </row>
    <row r="127" spans="1:3" x14ac:dyDescent="0.35">
      <c r="A127">
        <v>126</v>
      </c>
      <c r="B127">
        <v>5.8772502499999997E-2</v>
      </c>
      <c r="C127" s="8">
        <v>-2.9265119999999999E-2</v>
      </c>
    </row>
    <row r="128" spans="1:3" x14ac:dyDescent="0.35">
      <c r="A128">
        <v>127</v>
      </c>
      <c r="B128">
        <v>5.8159086999999998E-2</v>
      </c>
      <c r="C128" s="8">
        <v>-2.8967739999999999E-2</v>
      </c>
    </row>
    <row r="129" spans="1:3" x14ac:dyDescent="0.35">
      <c r="A129">
        <v>128</v>
      </c>
      <c r="B129">
        <v>5.75520037E-2</v>
      </c>
      <c r="C129" s="8">
        <v>-2.8673210000000001E-2</v>
      </c>
    </row>
    <row r="130" spans="1:3" x14ac:dyDescent="0.35">
      <c r="A130">
        <v>129</v>
      </c>
      <c r="B130">
        <v>5.69511371E-2</v>
      </c>
      <c r="C130" s="8">
        <v>-2.8381480000000001E-2</v>
      </c>
    </row>
    <row r="131" spans="1:3" x14ac:dyDescent="0.35">
      <c r="A131">
        <v>130</v>
      </c>
      <c r="B131">
        <v>5.6356374600000002E-2</v>
      </c>
      <c r="C131" s="8">
        <v>-2.8092499999999999E-2</v>
      </c>
    </row>
    <row r="132" spans="1:3" x14ac:dyDescent="0.35">
      <c r="A132">
        <v>131</v>
      </c>
      <c r="B132">
        <v>5.5767606599999998E-2</v>
      </c>
      <c r="C132" s="8">
        <v>-2.7806239999999999E-2</v>
      </c>
    </row>
    <row r="133" spans="1:3" x14ac:dyDescent="0.35">
      <c r="A133">
        <v>132</v>
      </c>
      <c r="B133">
        <v>5.5184726199999999E-2</v>
      </c>
      <c r="C133" s="8">
        <v>-2.7522629999999999E-2</v>
      </c>
    </row>
    <row r="134" spans="1:3" x14ac:dyDescent="0.35">
      <c r="A134">
        <v>133</v>
      </c>
      <c r="B134">
        <v>5.4607629300000002E-2</v>
      </c>
      <c r="C134" s="8">
        <v>-2.7241649999999999E-2</v>
      </c>
    </row>
    <row r="135" spans="1:3" x14ac:dyDescent="0.35">
      <c r="A135">
        <v>134</v>
      </c>
      <c r="B135">
        <v>5.4036214300000003E-2</v>
      </c>
      <c r="C135" s="8">
        <v>-2.6963230000000001E-2</v>
      </c>
    </row>
    <row r="136" spans="1:3" x14ac:dyDescent="0.35">
      <c r="A136">
        <v>135</v>
      </c>
      <c r="B136">
        <v>5.3470382300000001E-2</v>
      </c>
      <c r="C136" s="8">
        <v>-2.6687349999999999E-2</v>
      </c>
    </row>
    <row r="137" spans="1:3" x14ac:dyDescent="0.35">
      <c r="A137">
        <v>136</v>
      </c>
      <c r="B137">
        <v>5.2910036600000002E-2</v>
      </c>
      <c r="C137" s="8">
        <v>-2.6413969999999998E-2</v>
      </c>
    </row>
    <row r="138" spans="1:3" x14ac:dyDescent="0.35">
      <c r="A138">
        <v>137</v>
      </c>
      <c r="B138">
        <v>5.2355083300000001E-2</v>
      </c>
      <c r="C138" s="8">
        <v>-2.6143030000000001E-2</v>
      </c>
    </row>
    <row r="139" spans="1:3" x14ac:dyDescent="0.35">
      <c r="A139">
        <v>138</v>
      </c>
      <c r="B139">
        <v>5.1805430299999997E-2</v>
      </c>
      <c r="C139" s="8">
        <v>-2.5874500000000002E-2</v>
      </c>
    </row>
    <row r="140" spans="1:3" x14ac:dyDescent="0.35">
      <c r="A140">
        <v>139</v>
      </c>
      <c r="B140">
        <v>5.1260988E-2</v>
      </c>
      <c r="C140" s="8">
        <v>-2.5608349999999998E-2</v>
      </c>
    </row>
    <row r="141" spans="1:3" x14ac:dyDescent="0.35">
      <c r="A141">
        <v>140</v>
      </c>
      <c r="B141">
        <v>5.0721669099999998E-2</v>
      </c>
      <c r="C141" s="8">
        <v>-2.5344530000000001E-2</v>
      </c>
    </row>
    <row r="142" spans="1:3" x14ac:dyDescent="0.35">
      <c r="A142">
        <v>141</v>
      </c>
      <c r="B142">
        <v>5.0187387999999999E-2</v>
      </c>
      <c r="C142" s="8">
        <v>-2.5083020000000001E-2</v>
      </c>
    </row>
    <row r="143" spans="1:3" x14ac:dyDescent="0.35">
      <c r="A143">
        <v>142</v>
      </c>
      <c r="B143">
        <v>4.9658061500000003E-2</v>
      </c>
      <c r="C143" s="8">
        <v>-2.482376E-2</v>
      </c>
    </row>
    <row r="144" spans="1:3" x14ac:dyDescent="0.35">
      <c r="A144">
        <v>143</v>
      </c>
      <c r="B144">
        <v>4.9133608099999997E-2</v>
      </c>
      <c r="C144" s="8">
        <v>-2.4566729999999998E-2</v>
      </c>
    </row>
    <row r="145" spans="1:3" x14ac:dyDescent="0.35">
      <c r="A145">
        <v>144</v>
      </c>
      <c r="B145">
        <v>4.8613948300000001E-2</v>
      </c>
      <c r="C145" s="8">
        <v>-2.4311900000000001E-2</v>
      </c>
    </row>
    <row r="146" spans="1:3" x14ac:dyDescent="0.35">
      <c r="A146">
        <v>145</v>
      </c>
      <c r="B146">
        <v>4.8099004600000002E-2</v>
      </c>
      <c r="C146" s="8">
        <v>-2.4059230000000001E-2</v>
      </c>
    </row>
    <row r="147" spans="1:3" x14ac:dyDescent="0.35">
      <c r="A147">
        <v>146</v>
      </c>
      <c r="B147">
        <v>4.7588701099999998E-2</v>
      </c>
      <c r="C147" s="8">
        <v>-2.3808679999999999E-2</v>
      </c>
    </row>
    <row r="148" spans="1:3" x14ac:dyDescent="0.35">
      <c r="A148">
        <v>147</v>
      </c>
      <c r="B148">
        <v>4.70829636E-2</v>
      </c>
      <c r="C148" s="8">
        <v>-2.3560230000000001E-2</v>
      </c>
    </row>
    <row r="149" spans="1:3" x14ac:dyDescent="0.35">
      <c r="A149">
        <v>148</v>
      </c>
      <c r="B149">
        <v>4.6581719700000003E-2</v>
      </c>
      <c r="C149" s="8">
        <v>-2.3313839999999999E-2</v>
      </c>
    </row>
    <row r="150" spans="1:3" x14ac:dyDescent="0.35">
      <c r="A150">
        <v>149</v>
      </c>
      <c r="B150">
        <v>4.60848986E-2</v>
      </c>
      <c r="C150" s="8">
        <v>-2.306948E-2</v>
      </c>
    </row>
    <row r="151" spans="1:3" x14ac:dyDescent="0.35">
      <c r="A151">
        <v>150</v>
      </c>
      <c r="B151">
        <v>4.5592431199999998E-2</v>
      </c>
      <c r="C151" s="8">
        <v>-2.2827130000000001E-2</v>
      </c>
    </row>
    <row r="152" spans="1:3" x14ac:dyDescent="0.35">
      <c r="A152">
        <v>151</v>
      </c>
      <c r="B152">
        <v>4.5104249700000001E-2</v>
      </c>
      <c r="C152" s="8">
        <v>-2.2586749999999999E-2</v>
      </c>
    </row>
    <row r="153" spans="1:3" x14ac:dyDescent="0.35">
      <c r="A153">
        <v>152</v>
      </c>
      <c r="B153">
        <v>4.4620288600000002E-2</v>
      </c>
      <c r="C153" s="8">
        <v>-2.2348320000000001E-2</v>
      </c>
    </row>
    <row r="154" spans="1:3" x14ac:dyDescent="0.35">
      <c r="A154">
        <v>153</v>
      </c>
      <c r="B154">
        <v>4.4140485600000001E-2</v>
      </c>
      <c r="C154" s="8">
        <v>-2.2111800000000001E-2</v>
      </c>
    </row>
    <row r="155" spans="1:3" x14ac:dyDescent="0.35">
      <c r="A155">
        <v>154</v>
      </c>
      <c r="B155">
        <v>4.3664780399999999E-2</v>
      </c>
      <c r="C155" s="8">
        <v>-2.187718E-2</v>
      </c>
    </row>
    <row r="156" spans="1:3" x14ac:dyDescent="0.35">
      <c r="A156">
        <v>155</v>
      </c>
      <c r="B156">
        <v>4.3193113800000002E-2</v>
      </c>
      <c r="C156" s="8">
        <v>-2.1644429999999999E-2</v>
      </c>
    </row>
    <row r="157" spans="1:3" x14ac:dyDescent="0.35">
      <c r="A157">
        <v>156</v>
      </c>
      <c r="B157">
        <v>4.2725427900000001E-2</v>
      </c>
      <c r="C157" s="8">
        <v>-2.1413519999999998E-2</v>
      </c>
    </row>
    <row r="158" spans="1:3" x14ac:dyDescent="0.35">
      <c r="A158">
        <v>157</v>
      </c>
      <c r="B158">
        <v>4.2261665699999999E-2</v>
      </c>
      <c r="C158" s="8">
        <v>-2.1184439999999999E-2</v>
      </c>
    </row>
    <row r="159" spans="1:3" x14ac:dyDescent="0.35">
      <c r="A159">
        <v>158</v>
      </c>
      <c r="B159">
        <v>4.1801771600000003E-2</v>
      </c>
      <c r="C159" s="8">
        <v>-2.0957159999999999E-2</v>
      </c>
    </row>
    <row r="160" spans="1:3" x14ac:dyDescent="0.35">
      <c r="A160">
        <v>159</v>
      </c>
      <c r="B160">
        <v>4.1345690999999997E-2</v>
      </c>
      <c r="C160" s="8">
        <v>-2.0731650000000001E-2</v>
      </c>
    </row>
    <row r="161" spans="1:3" x14ac:dyDescent="0.35">
      <c r="A161">
        <v>160</v>
      </c>
      <c r="B161">
        <v>4.0893370300000002E-2</v>
      </c>
      <c r="C161" s="8">
        <v>-2.0507899999999999E-2</v>
      </c>
    </row>
    <row r="162" spans="1:3" x14ac:dyDescent="0.35">
      <c r="A162">
        <v>161</v>
      </c>
      <c r="B162">
        <v>4.0444756999999998E-2</v>
      </c>
      <c r="C162" s="8">
        <v>-2.0285870000000001E-2</v>
      </c>
    </row>
    <row r="163" spans="1:3" x14ac:dyDescent="0.35">
      <c r="A163">
        <v>162</v>
      </c>
      <c r="B163">
        <v>3.9999799699999998E-2</v>
      </c>
      <c r="C163" s="8">
        <v>-2.006556E-2</v>
      </c>
    </row>
    <row r="164" spans="1:3" x14ac:dyDescent="0.35">
      <c r="A164">
        <v>163</v>
      </c>
      <c r="B164">
        <v>3.9558447900000002E-2</v>
      </c>
      <c r="C164" s="8">
        <v>-1.984694E-2</v>
      </c>
    </row>
    <row r="165" spans="1:3" x14ac:dyDescent="0.35">
      <c r="A165">
        <v>164</v>
      </c>
      <c r="B165">
        <v>3.91206521E-2</v>
      </c>
      <c r="C165" s="8">
        <v>-1.9629980000000002E-2</v>
      </c>
    </row>
    <row r="166" spans="1:3" x14ac:dyDescent="0.35">
      <c r="A166">
        <v>165</v>
      </c>
      <c r="B166">
        <v>3.8686363699999997E-2</v>
      </c>
      <c r="C166" s="8">
        <v>-1.9414669999999998E-2</v>
      </c>
    </row>
    <row r="167" spans="1:3" x14ac:dyDescent="0.35">
      <c r="A167">
        <v>166</v>
      </c>
      <c r="B167">
        <v>3.8255535E-2</v>
      </c>
      <c r="C167" s="8">
        <v>-1.9200990000000001E-2</v>
      </c>
    </row>
    <row r="168" spans="1:3" x14ac:dyDescent="0.35">
      <c r="A168">
        <v>167</v>
      </c>
      <c r="B168">
        <v>3.7828119299999997E-2</v>
      </c>
      <c r="C168" s="8">
        <v>-1.8988919999999999E-2</v>
      </c>
    </row>
    <row r="169" spans="1:3" x14ac:dyDescent="0.35">
      <c r="A169">
        <v>168</v>
      </c>
      <c r="B169">
        <v>3.7404070800000001E-2</v>
      </c>
      <c r="C169" s="8">
        <v>-1.8778429999999999E-2</v>
      </c>
    </row>
    <row r="170" spans="1:3" x14ac:dyDescent="0.35">
      <c r="A170">
        <v>169</v>
      </c>
      <c r="B170">
        <v>3.69833444E-2</v>
      </c>
      <c r="C170" s="8">
        <v>-1.8569510000000001E-2</v>
      </c>
    </row>
    <row r="171" spans="1:3" x14ac:dyDescent="0.35">
      <c r="A171">
        <v>170</v>
      </c>
      <c r="B171">
        <v>3.6565896000000001E-2</v>
      </c>
      <c r="C171" s="8">
        <v>-1.8362139999999999E-2</v>
      </c>
    </row>
    <row r="172" spans="1:3" x14ac:dyDescent="0.35">
      <c r="A172">
        <v>171</v>
      </c>
      <c r="B172">
        <v>3.6151682099999999E-2</v>
      </c>
      <c r="C172" s="8">
        <v>-1.81563E-2</v>
      </c>
    </row>
    <row r="173" spans="1:3" x14ac:dyDescent="0.35">
      <c r="A173">
        <v>172</v>
      </c>
      <c r="B173">
        <v>3.5740660299999998E-2</v>
      </c>
      <c r="C173" s="8">
        <v>-1.7951970000000001E-2</v>
      </c>
    </row>
    <row r="174" spans="1:3" x14ac:dyDescent="0.35">
      <c r="A174">
        <v>173</v>
      </c>
      <c r="B174">
        <v>3.5332788800000001E-2</v>
      </c>
      <c r="C174" s="8">
        <v>-1.7749129999999998E-2</v>
      </c>
    </row>
    <row r="175" spans="1:3" x14ac:dyDescent="0.35">
      <c r="A175">
        <v>174</v>
      </c>
      <c r="B175">
        <v>3.4928026500000001E-2</v>
      </c>
      <c r="C175" s="8">
        <v>-1.7547770000000001E-2</v>
      </c>
    </row>
    <row r="176" spans="1:3" x14ac:dyDescent="0.35">
      <c r="A176">
        <v>175</v>
      </c>
      <c r="B176">
        <v>3.4526333200000002E-2</v>
      </c>
      <c r="C176" s="8">
        <v>-1.7347870000000001E-2</v>
      </c>
    </row>
    <row r="177" spans="1:3" x14ac:dyDescent="0.35">
      <c r="A177">
        <v>176</v>
      </c>
      <c r="B177">
        <v>3.4127669399999998E-2</v>
      </c>
      <c r="C177" s="8">
        <v>-1.7149399999999999E-2</v>
      </c>
    </row>
    <row r="178" spans="1:3" x14ac:dyDescent="0.35">
      <c r="A178">
        <v>177</v>
      </c>
      <c r="B178">
        <v>3.3731996100000002E-2</v>
      </c>
      <c r="C178" s="8">
        <v>-1.6952370000000001E-2</v>
      </c>
    </row>
    <row r="179" spans="1:3" x14ac:dyDescent="0.35">
      <c r="A179">
        <v>178</v>
      </c>
      <c r="B179">
        <v>3.3339275299999999E-2</v>
      </c>
      <c r="C179" s="8">
        <v>-1.6756739999999999E-2</v>
      </c>
    </row>
    <row r="180" spans="1:3" x14ac:dyDescent="0.35">
      <c r="A180">
        <v>179</v>
      </c>
      <c r="B180">
        <v>3.2949469500000002E-2</v>
      </c>
      <c r="C180" s="8">
        <v>-1.6562500000000001E-2</v>
      </c>
    </row>
    <row r="181" spans="1:3" x14ac:dyDescent="0.35">
      <c r="A181">
        <v>180</v>
      </c>
      <c r="B181">
        <v>3.2562542E-2</v>
      </c>
      <c r="C181" s="8">
        <v>-1.636963E-2</v>
      </c>
    </row>
    <row r="182" spans="1:3" x14ac:dyDescent="0.35">
      <c r="A182">
        <v>181</v>
      </c>
      <c r="B182">
        <v>3.2178456500000001E-2</v>
      </c>
      <c r="C182" s="8">
        <v>-1.6178120000000001E-2</v>
      </c>
    </row>
    <row r="183" spans="1:3" x14ac:dyDescent="0.35">
      <c r="A183">
        <v>182</v>
      </c>
      <c r="B183">
        <v>3.1797177500000003E-2</v>
      </c>
      <c r="C183" s="8">
        <v>-1.5987959999999999E-2</v>
      </c>
    </row>
    <row r="184" spans="1:3" x14ac:dyDescent="0.35">
      <c r="A184">
        <v>183</v>
      </c>
      <c r="B184">
        <v>3.1418670199999998E-2</v>
      </c>
      <c r="C184" s="8">
        <v>-1.579912E-2</v>
      </c>
    </row>
    <row r="185" spans="1:3" x14ac:dyDescent="0.35">
      <c r="A185">
        <v>184</v>
      </c>
      <c r="B185">
        <v>3.1042900200000001E-2</v>
      </c>
      <c r="C185" s="8">
        <v>-1.56116E-2</v>
      </c>
    </row>
    <row r="186" spans="1:3" x14ac:dyDescent="0.35">
      <c r="A186">
        <v>185</v>
      </c>
      <c r="B186">
        <v>3.0669833899999999E-2</v>
      </c>
      <c r="C186" s="8">
        <v>-1.5425370000000001E-2</v>
      </c>
    </row>
    <row r="187" spans="1:3" x14ac:dyDescent="0.35">
      <c r="A187">
        <v>186</v>
      </c>
      <c r="B187">
        <v>3.0299438099999999E-2</v>
      </c>
      <c r="C187" s="8">
        <v>-1.5240429999999999E-2</v>
      </c>
    </row>
    <row r="188" spans="1:3" x14ac:dyDescent="0.35">
      <c r="A188">
        <v>187</v>
      </c>
      <c r="B188">
        <v>2.9931680299999999E-2</v>
      </c>
      <c r="C188" s="8">
        <v>-1.5056750000000001E-2</v>
      </c>
    </row>
    <row r="189" spans="1:3" x14ac:dyDescent="0.35">
      <c r="A189">
        <v>188</v>
      </c>
      <c r="B189">
        <v>2.9566528500000001E-2</v>
      </c>
      <c r="C189" s="8">
        <v>-1.487432E-2</v>
      </c>
    </row>
    <row r="190" spans="1:3" x14ac:dyDescent="0.35">
      <c r="A190">
        <v>189</v>
      </c>
      <c r="B190">
        <v>2.9203951200000001E-2</v>
      </c>
      <c r="C190" s="8">
        <v>-1.469314E-2</v>
      </c>
    </row>
    <row r="191" spans="1:3" x14ac:dyDescent="0.35">
      <c r="A191">
        <v>190</v>
      </c>
      <c r="B191">
        <v>2.8843917600000001E-2</v>
      </c>
      <c r="C191" s="8">
        <v>-1.4513180000000001E-2</v>
      </c>
    </row>
    <row r="192" spans="1:3" x14ac:dyDescent="0.35">
      <c r="A192">
        <v>191</v>
      </c>
      <c r="B192">
        <v>2.8486397100000001E-2</v>
      </c>
      <c r="C192" s="8">
        <v>-1.433444E-2</v>
      </c>
    </row>
    <row r="193" spans="1:3" x14ac:dyDescent="0.35">
      <c r="A193">
        <v>192</v>
      </c>
      <c r="B193">
        <v>2.81313599E-2</v>
      </c>
      <c r="C193" s="8">
        <v>-1.415689E-2</v>
      </c>
    </row>
    <row r="194" spans="1:3" x14ac:dyDescent="0.35">
      <c r="A194">
        <v>193</v>
      </c>
      <c r="B194">
        <v>2.7778776599999999E-2</v>
      </c>
      <c r="C194" s="8">
        <v>-1.398053E-2</v>
      </c>
    </row>
    <row r="195" spans="1:3" x14ac:dyDescent="0.35">
      <c r="A195">
        <v>194</v>
      </c>
      <c r="B195">
        <v>2.7428618299999999E-2</v>
      </c>
      <c r="C195" s="8">
        <v>-1.3805339999999999E-2</v>
      </c>
    </row>
    <row r="196" spans="1:3" x14ac:dyDescent="0.35">
      <c r="A196">
        <v>195</v>
      </c>
      <c r="B196">
        <v>2.7080856600000001E-2</v>
      </c>
      <c r="C196" s="8">
        <v>-1.3631310000000001E-2</v>
      </c>
    </row>
    <row r="197" spans="1:3" x14ac:dyDescent="0.35">
      <c r="A197">
        <v>196</v>
      </c>
      <c r="B197">
        <v>2.6735463399999999E-2</v>
      </c>
      <c r="C197" s="8">
        <v>-1.345842E-2</v>
      </c>
    </row>
    <row r="198" spans="1:3" x14ac:dyDescent="0.35">
      <c r="A198">
        <v>197</v>
      </c>
      <c r="B198">
        <v>2.63924112E-2</v>
      </c>
      <c r="C198" s="8">
        <v>-1.328667E-2</v>
      </c>
    </row>
    <row r="199" spans="1:3" x14ac:dyDescent="0.35">
      <c r="A199">
        <v>198</v>
      </c>
      <c r="B199">
        <v>2.6051673099999999E-2</v>
      </c>
      <c r="C199" s="8">
        <v>-1.3116050000000001E-2</v>
      </c>
    </row>
    <row r="200" spans="1:3" x14ac:dyDescent="0.35">
      <c r="A200">
        <v>199</v>
      </c>
      <c r="B200">
        <v>2.5713222300000001E-2</v>
      </c>
      <c r="C200" s="8">
        <v>-1.2946529999999999E-2</v>
      </c>
    </row>
    <row r="201" spans="1:3" x14ac:dyDescent="0.35">
      <c r="A201">
        <v>200</v>
      </c>
      <c r="B201">
        <v>2.53770327E-2</v>
      </c>
      <c r="C201" s="8">
        <v>-1.2778110000000001E-2</v>
      </c>
    </row>
    <row r="202" spans="1:3" x14ac:dyDescent="0.35">
      <c r="A202">
        <v>201</v>
      </c>
      <c r="B202">
        <v>2.50430785E-2</v>
      </c>
      <c r="C202" s="8">
        <v>-1.261077E-2</v>
      </c>
    </row>
    <row r="203" spans="1:3" x14ac:dyDescent="0.35">
      <c r="A203">
        <v>202</v>
      </c>
      <c r="B203">
        <v>2.4711334200000001E-2</v>
      </c>
      <c r="C203" s="8">
        <v>-1.2444520000000001E-2</v>
      </c>
    </row>
    <row r="204" spans="1:3" x14ac:dyDescent="0.35">
      <c r="A204">
        <v>203</v>
      </c>
      <c r="B204">
        <v>2.4381775000000001E-2</v>
      </c>
      <c r="C204" s="8">
        <v>-1.227932E-2</v>
      </c>
    </row>
    <row r="205" spans="1:3" x14ac:dyDescent="0.35">
      <c r="A205">
        <v>204</v>
      </c>
      <c r="B205">
        <v>2.4054376299999999E-2</v>
      </c>
      <c r="C205" s="8">
        <v>-1.211518E-2</v>
      </c>
    </row>
    <row r="206" spans="1:3" x14ac:dyDescent="0.35">
      <c r="A206">
        <v>205</v>
      </c>
      <c r="B206">
        <v>2.3729113900000001E-2</v>
      </c>
      <c r="C206" s="8">
        <v>-1.195208E-2</v>
      </c>
    </row>
    <row r="207" spans="1:3" x14ac:dyDescent="0.35">
      <c r="A207">
        <v>206</v>
      </c>
      <c r="B207">
        <v>2.3405964000000001E-2</v>
      </c>
      <c r="C207" s="8">
        <v>-1.179E-2</v>
      </c>
    </row>
    <row r="208" spans="1:3" x14ac:dyDescent="0.35">
      <c r="A208">
        <v>207</v>
      </c>
      <c r="B208">
        <v>2.3084903100000002E-2</v>
      </c>
      <c r="C208" s="8">
        <v>-1.1628950000000001E-2</v>
      </c>
    </row>
    <row r="209" spans="1:3" x14ac:dyDescent="0.35">
      <c r="A209">
        <v>208</v>
      </c>
      <c r="B209">
        <v>2.2765908200000001E-2</v>
      </c>
      <c r="C209" s="8">
        <v>-1.1468900000000001E-2</v>
      </c>
    </row>
    <row r="210" spans="1:3" x14ac:dyDescent="0.35">
      <c r="A210">
        <v>209</v>
      </c>
      <c r="B210">
        <v>2.2448956499999999E-2</v>
      </c>
      <c r="C210" s="8">
        <v>-1.130986E-2</v>
      </c>
    </row>
    <row r="211" spans="1:3" x14ac:dyDescent="0.35">
      <c r="A211">
        <v>210</v>
      </c>
      <c r="B211">
        <v>2.2134025799999998E-2</v>
      </c>
      <c r="C211" s="8">
        <v>-1.11518E-2</v>
      </c>
    </row>
    <row r="212" spans="1:3" x14ac:dyDescent="0.35">
      <c r="A212">
        <v>211</v>
      </c>
      <c r="B212">
        <v>2.1821093900000001E-2</v>
      </c>
      <c r="C212" s="8">
        <v>-1.0994719999999999E-2</v>
      </c>
    </row>
    <row r="213" spans="1:3" x14ac:dyDescent="0.35">
      <c r="A213">
        <v>212</v>
      </c>
      <c r="B213">
        <v>2.1510139300000002E-2</v>
      </c>
      <c r="C213" s="8">
        <v>-1.08386E-2</v>
      </c>
    </row>
    <row r="214" spans="1:3" x14ac:dyDescent="0.35">
      <c r="A214">
        <v>213</v>
      </c>
      <c r="B214">
        <v>2.12011405E-2</v>
      </c>
      <c r="C214" s="8">
        <v>-1.0683450000000001E-2</v>
      </c>
    </row>
    <row r="215" spans="1:3" x14ac:dyDescent="0.35">
      <c r="A215">
        <v>214</v>
      </c>
      <c r="B215">
        <v>2.0894076500000001E-2</v>
      </c>
      <c r="C215" s="8">
        <v>-1.052924E-2</v>
      </c>
    </row>
    <row r="216" spans="1:3" x14ac:dyDescent="0.35">
      <c r="A216">
        <v>215</v>
      </c>
      <c r="B216">
        <v>2.0588926600000002E-2</v>
      </c>
      <c r="C216" s="8">
        <v>-1.037597E-2</v>
      </c>
    </row>
    <row r="217" spans="1:3" x14ac:dyDescent="0.35">
      <c r="A217">
        <v>216</v>
      </c>
      <c r="B217">
        <v>2.0285670499999998E-2</v>
      </c>
      <c r="C217" s="8">
        <v>-1.0223629999999999E-2</v>
      </c>
    </row>
    <row r="218" spans="1:3" x14ac:dyDescent="0.35">
      <c r="A218">
        <v>217</v>
      </c>
      <c r="B218">
        <v>1.9984287900000001E-2</v>
      </c>
      <c r="C218" s="8">
        <v>-1.007221E-2</v>
      </c>
    </row>
    <row r="219" spans="1:3" x14ac:dyDescent="0.35">
      <c r="A219">
        <v>218</v>
      </c>
      <c r="B219">
        <v>1.9684759100000001E-2</v>
      </c>
      <c r="C219" s="8">
        <v>-9.9216979999999996E-3</v>
      </c>
    </row>
    <row r="220" spans="1:3" x14ac:dyDescent="0.35">
      <c r="A220">
        <v>219</v>
      </c>
      <c r="B220">
        <v>1.9387064700000001E-2</v>
      </c>
      <c r="C220" s="8">
        <v>-9.7720889999999994E-3</v>
      </c>
    </row>
    <row r="221" spans="1:3" x14ac:dyDescent="0.35">
      <c r="A221">
        <v>220</v>
      </c>
      <c r="B221">
        <v>1.9091185300000001E-2</v>
      </c>
      <c r="C221" s="8">
        <v>-9.6233719999999998E-3</v>
      </c>
    </row>
    <row r="222" spans="1:3" x14ac:dyDescent="0.35">
      <c r="A222">
        <v>221</v>
      </c>
      <c r="B222">
        <v>1.8797102100000001E-2</v>
      </c>
      <c r="C222" s="8">
        <v>-9.4755380000000004E-3</v>
      </c>
    </row>
    <row r="223" spans="1:3" x14ac:dyDescent="0.35">
      <c r="A223">
        <v>222</v>
      </c>
      <c r="B223">
        <v>1.8504796399999999E-2</v>
      </c>
      <c r="C223" s="8">
        <v>-9.328579E-3</v>
      </c>
    </row>
    <row r="224" spans="1:3" x14ac:dyDescent="0.35">
      <c r="A224">
        <v>223</v>
      </c>
      <c r="B224">
        <v>1.8214249799999999E-2</v>
      </c>
      <c r="C224" s="8">
        <v>-9.1824850000000006E-3</v>
      </c>
    </row>
    <row r="225" spans="1:3" x14ac:dyDescent="0.35">
      <c r="A225">
        <v>224</v>
      </c>
      <c r="B225">
        <v>1.79254441E-2</v>
      </c>
      <c r="C225" s="8">
        <v>-9.0372500000000001E-3</v>
      </c>
    </row>
    <row r="226" spans="1:3" x14ac:dyDescent="0.35">
      <c r="A226">
        <v>225</v>
      </c>
      <c r="B226">
        <v>1.7638361599999999E-2</v>
      </c>
      <c r="C226" s="8">
        <v>-8.8928640000000003E-3</v>
      </c>
    </row>
    <row r="227" spans="1:3" x14ac:dyDescent="0.35">
      <c r="A227">
        <v>226</v>
      </c>
      <c r="B227">
        <v>1.7352984700000001E-2</v>
      </c>
      <c r="C227" s="8">
        <v>-8.7493180000000007E-3</v>
      </c>
    </row>
    <row r="228" spans="1:3" x14ac:dyDescent="0.35">
      <c r="A228">
        <v>227</v>
      </c>
      <c r="B228">
        <v>1.70692959E-2</v>
      </c>
      <c r="C228" s="8">
        <v>-8.6066059999999993E-3</v>
      </c>
    </row>
    <row r="229" spans="1:3" x14ac:dyDescent="0.35">
      <c r="A229">
        <v>228</v>
      </c>
      <c r="B229">
        <v>1.6787278199999998E-2</v>
      </c>
      <c r="C229" s="8">
        <v>-8.4647179999999995E-3</v>
      </c>
    </row>
    <row r="230" spans="1:3" x14ac:dyDescent="0.35">
      <c r="A230">
        <v>229</v>
      </c>
      <c r="B230">
        <v>1.6506914800000001E-2</v>
      </c>
      <c r="C230" s="8">
        <v>-8.323647E-3</v>
      </c>
    </row>
    <row r="231" spans="1:3" x14ac:dyDescent="0.35">
      <c r="A231">
        <v>230</v>
      </c>
      <c r="B231">
        <v>1.6228188899999999E-2</v>
      </c>
      <c r="C231" s="8">
        <v>-8.1833860000000008E-3</v>
      </c>
    </row>
    <row r="232" spans="1:3" x14ac:dyDescent="0.35">
      <c r="A232">
        <v>231</v>
      </c>
      <c r="B232">
        <v>1.5951084300000001E-2</v>
      </c>
      <c r="C232" s="8">
        <v>-8.0439250000000004E-3</v>
      </c>
    </row>
    <row r="233" spans="1:3" x14ac:dyDescent="0.35">
      <c r="A233">
        <v>232</v>
      </c>
      <c r="B233">
        <v>1.56755848E-2</v>
      </c>
      <c r="C233" s="8">
        <v>-7.9052580000000001E-3</v>
      </c>
    </row>
    <row r="234" spans="1:3" x14ac:dyDescent="0.35">
      <c r="A234">
        <v>233</v>
      </c>
      <c r="B234">
        <v>1.5401674400000001E-2</v>
      </c>
      <c r="C234" s="8">
        <v>-7.7673769999999998E-3</v>
      </c>
    </row>
    <row r="235" spans="1:3" x14ac:dyDescent="0.35">
      <c r="A235">
        <v>234</v>
      </c>
      <c r="B235">
        <v>1.5129337499999999E-2</v>
      </c>
      <c r="C235" s="8">
        <v>-7.6302749999999997E-3</v>
      </c>
    </row>
    <row r="236" spans="1:3" x14ac:dyDescent="0.35">
      <c r="A236">
        <v>235</v>
      </c>
      <c r="B236">
        <v>1.4858558500000001E-2</v>
      </c>
      <c r="C236" s="8">
        <v>-7.4939450000000001E-3</v>
      </c>
    </row>
    <row r="237" spans="1:3" x14ac:dyDescent="0.35">
      <c r="A237">
        <v>236</v>
      </c>
      <c r="B237">
        <v>1.4589322199999999E-2</v>
      </c>
      <c r="C237" s="8">
        <v>-7.3583779999999996E-3</v>
      </c>
    </row>
    <row r="238" spans="1:3" x14ac:dyDescent="0.35">
      <c r="A238">
        <v>237</v>
      </c>
      <c r="B238">
        <v>1.43216135E-2</v>
      </c>
      <c r="C238" s="8">
        <v>-7.223569E-3</v>
      </c>
    </row>
    <row r="239" spans="1:3" x14ac:dyDescent="0.35">
      <c r="A239">
        <v>238</v>
      </c>
      <c r="B239">
        <v>1.40554177E-2</v>
      </c>
      <c r="C239" s="8">
        <v>-7.0895089999999999E-3</v>
      </c>
    </row>
    <row r="240" spans="1:3" x14ac:dyDescent="0.35">
      <c r="A240">
        <v>239</v>
      </c>
      <c r="B240">
        <v>1.37907199E-2</v>
      </c>
      <c r="C240" s="8">
        <v>-6.9561919999999999E-3</v>
      </c>
    </row>
    <row r="241" spans="1:3" x14ac:dyDescent="0.35">
      <c r="A241">
        <v>240</v>
      </c>
      <c r="B241">
        <v>1.3527505800000001E-2</v>
      </c>
      <c r="C241" s="8">
        <v>-6.8236119999999997E-3</v>
      </c>
    </row>
    <row r="242" spans="1:3" x14ac:dyDescent="0.35">
      <c r="A242">
        <v>241</v>
      </c>
      <c r="B242">
        <v>1.3265760999999999E-2</v>
      </c>
      <c r="C242" s="8">
        <v>-6.6917610000000001E-3</v>
      </c>
    </row>
    <row r="243" spans="1:3" x14ac:dyDescent="0.35">
      <c r="A243">
        <v>242</v>
      </c>
      <c r="B243">
        <v>1.30054717E-2</v>
      </c>
      <c r="C243" s="8">
        <v>-6.5606320000000003E-3</v>
      </c>
    </row>
    <row r="244" spans="1:3" x14ac:dyDescent="0.35">
      <c r="A244">
        <v>243</v>
      </c>
      <c r="B244">
        <v>1.2746623800000001E-2</v>
      </c>
      <c r="C244" s="8">
        <v>-6.4302200000000004E-3</v>
      </c>
    </row>
    <row r="245" spans="1:3" x14ac:dyDescent="0.35">
      <c r="A245">
        <v>244</v>
      </c>
      <c r="B245">
        <v>1.24892036E-2</v>
      </c>
      <c r="C245" s="8">
        <v>-6.3005170000000003E-3</v>
      </c>
    </row>
    <row r="246" spans="1:3" x14ac:dyDescent="0.35">
      <c r="A246">
        <v>245</v>
      </c>
      <c r="B246">
        <v>1.22331978E-2</v>
      </c>
      <c r="C246" s="8">
        <v>-6.1715169999999996E-3</v>
      </c>
    </row>
    <row r="247" spans="1:3" x14ac:dyDescent="0.35">
      <c r="A247">
        <v>246</v>
      </c>
      <c r="B247">
        <v>1.19785928E-2</v>
      </c>
      <c r="C247" s="8">
        <v>-6.0432139999999999E-3</v>
      </c>
    </row>
    <row r="248" spans="1:3" x14ac:dyDescent="0.35">
      <c r="A248">
        <v>247</v>
      </c>
      <c r="B248">
        <v>1.17253757E-2</v>
      </c>
      <c r="C248" s="8">
        <v>-5.9156010000000004E-3</v>
      </c>
    </row>
    <row r="249" spans="1:3" x14ac:dyDescent="0.35">
      <c r="A249">
        <v>248</v>
      </c>
      <c r="B249">
        <v>1.1473533399999999E-2</v>
      </c>
      <c r="C249" s="8">
        <v>-5.7886730000000003E-3</v>
      </c>
    </row>
    <row r="250" spans="1:3" x14ac:dyDescent="0.35">
      <c r="A250">
        <v>249</v>
      </c>
      <c r="B250">
        <v>1.12230531E-2</v>
      </c>
      <c r="C250" s="8">
        <v>-5.6624229999999998E-3</v>
      </c>
    </row>
    <row r="251" spans="1:3" x14ac:dyDescent="0.35">
      <c r="A251">
        <v>250</v>
      </c>
      <c r="B251">
        <v>1.09739222E-2</v>
      </c>
      <c r="C251" s="8">
        <v>-5.536844E-3</v>
      </c>
    </row>
    <row r="252" spans="1:3" x14ac:dyDescent="0.35">
      <c r="A252">
        <v>251</v>
      </c>
      <c r="B252">
        <v>1.0726128099999999E-2</v>
      </c>
      <c r="C252" s="8">
        <v>-5.4119320000000004E-3</v>
      </c>
    </row>
    <row r="253" spans="1:3" x14ac:dyDescent="0.35">
      <c r="A253">
        <v>252</v>
      </c>
      <c r="B253">
        <v>1.04796587E-2</v>
      </c>
      <c r="C253" s="8">
        <v>-5.2876800000000003E-3</v>
      </c>
    </row>
    <row r="254" spans="1:3" x14ac:dyDescent="0.35">
      <c r="A254">
        <v>253</v>
      </c>
      <c r="B254">
        <v>1.0234501599999999E-2</v>
      </c>
      <c r="C254" s="8">
        <v>-5.1640820000000004E-3</v>
      </c>
    </row>
    <row r="255" spans="1:3" x14ac:dyDescent="0.35">
      <c r="A255">
        <v>254</v>
      </c>
      <c r="B255">
        <v>9.9906449999999994E-3</v>
      </c>
      <c r="C255" s="8">
        <v>-5.0411329999999997E-3</v>
      </c>
    </row>
    <row r="256" spans="1:3" x14ac:dyDescent="0.35">
      <c r="A256">
        <v>255</v>
      </c>
      <c r="B256">
        <v>9.7480771000000004E-3</v>
      </c>
      <c r="C256" s="8">
        <v>-4.9188260000000003E-3</v>
      </c>
    </row>
    <row r="257" spans="1:3" x14ac:dyDescent="0.35">
      <c r="A257">
        <v>256</v>
      </c>
      <c r="B257">
        <v>9.5067859999999997E-3</v>
      </c>
      <c r="C257" s="8">
        <v>-4.7971569999999998E-3</v>
      </c>
    </row>
    <row r="258" spans="1:3" x14ac:dyDescent="0.35">
      <c r="A258">
        <v>257</v>
      </c>
      <c r="B258">
        <v>9.2667602999999994E-3</v>
      </c>
      <c r="C258" s="8">
        <v>-4.6761199999999998E-3</v>
      </c>
    </row>
    <row r="259" spans="1:3" x14ac:dyDescent="0.35">
      <c r="A259">
        <v>258</v>
      </c>
      <c r="B259">
        <v>9.0279885000000004E-3</v>
      </c>
      <c r="C259" s="8">
        <v>-4.5557089999999998E-3</v>
      </c>
    </row>
    <row r="260" spans="1:3" x14ac:dyDescent="0.35">
      <c r="A260">
        <v>259</v>
      </c>
      <c r="B260">
        <v>8.7904595000000002E-3</v>
      </c>
      <c r="C260" s="8">
        <v>-4.4359179999999996E-3</v>
      </c>
    </row>
    <row r="261" spans="1:3" x14ac:dyDescent="0.35">
      <c r="A261">
        <v>260</v>
      </c>
      <c r="B261">
        <v>8.5541621000000002E-3</v>
      </c>
      <c r="C261" s="8">
        <v>-4.3167429999999996E-3</v>
      </c>
    </row>
    <row r="262" spans="1:3" x14ac:dyDescent="0.35">
      <c r="A262">
        <v>261</v>
      </c>
      <c r="B262">
        <v>8.3190854000000005E-3</v>
      </c>
      <c r="C262" s="8">
        <v>-4.1981780000000003E-3</v>
      </c>
    </row>
    <row r="263" spans="1:3" x14ac:dyDescent="0.35">
      <c r="A263">
        <v>262</v>
      </c>
      <c r="B263">
        <v>8.0852184999999997E-3</v>
      </c>
      <c r="C263" s="8">
        <v>-4.080218E-3</v>
      </c>
    </row>
    <row r="264" spans="1:3" x14ac:dyDescent="0.35">
      <c r="A264">
        <v>263</v>
      </c>
      <c r="B264">
        <v>7.8525507000000005E-3</v>
      </c>
      <c r="C264" s="8">
        <v>-3.9628579999999997E-3</v>
      </c>
    </row>
    <row r="265" spans="1:3" x14ac:dyDescent="0.35">
      <c r="A265">
        <v>264</v>
      </c>
      <c r="B265">
        <v>7.6210714999999998E-3</v>
      </c>
      <c r="C265" s="8">
        <v>-3.8460930000000001E-3</v>
      </c>
    </row>
    <row r="266" spans="1:3" x14ac:dyDescent="0.35">
      <c r="A266">
        <v>265</v>
      </c>
      <c r="B266">
        <v>7.3907703999999998E-3</v>
      </c>
      <c r="C266" s="8">
        <v>-3.7299170000000001E-3</v>
      </c>
    </row>
    <row r="267" spans="1:3" x14ac:dyDescent="0.35">
      <c r="A267">
        <v>266</v>
      </c>
      <c r="B267">
        <v>7.1616370999999998E-3</v>
      </c>
      <c r="C267" s="8">
        <v>-3.6143249999999998E-3</v>
      </c>
    </row>
    <row r="268" spans="1:3" x14ac:dyDescent="0.35">
      <c r="A268">
        <v>267</v>
      </c>
      <c r="B268">
        <v>6.9336615000000004E-3</v>
      </c>
      <c r="C268" s="8">
        <v>-3.4993139999999999E-3</v>
      </c>
    </row>
    <row r="269" spans="1:3" x14ac:dyDescent="0.35">
      <c r="A269">
        <v>268</v>
      </c>
      <c r="B269">
        <v>6.7068335999999999E-3</v>
      </c>
      <c r="C269" s="8">
        <v>-3.3848770000000001E-3</v>
      </c>
    </row>
    <row r="270" spans="1:3" x14ac:dyDescent="0.35">
      <c r="A270">
        <v>269</v>
      </c>
      <c r="B270">
        <v>6.4811432999999996E-3</v>
      </c>
      <c r="C270" s="8">
        <v>-3.27101E-3</v>
      </c>
    </row>
    <row r="271" spans="1:3" x14ac:dyDescent="0.35">
      <c r="A271">
        <v>270</v>
      </c>
      <c r="B271">
        <v>6.2565807999999997E-3</v>
      </c>
      <c r="C271" s="8">
        <v>-3.1577089999999999E-3</v>
      </c>
    </row>
    <row r="272" spans="1:3" x14ac:dyDescent="0.35">
      <c r="A272">
        <v>271</v>
      </c>
      <c r="B272">
        <v>6.0331365999999999E-3</v>
      </c>
      <c r="C272" s="8">
        <v>-3.0449679999999999E-3</v>
      </c>
    </row>
    <row r="273" spans="1:3" x14ac:dyDescent="0.35">
      <c r="A273">
        <v>272</v>
      </c>
      <c r="B273">
        <v>5.810801E-3</v>
      </c>
      <c r="C273" s="8">
        <v>-2.932783E-3</v>
      </c>
    </row>
    <row r="274" spans="1:3" x14ac:dyDescent="0.35">
      <c r="A274">
        <v>273</v>
      </c>
      <c r="B274">
        <v>5.5895646000000002E-3</v>
      </c>
      <c r="C274" s="8">
        <v>-2.8211489999999998E-3</v>
      </c>
    </row>
    <row r="275" spans="1:3" x14ac:dyDescent="0.35">
      <c r="A275">
        <v>274</v>
      </c>
      <c r="B275">
        <v>5.3694179999999999E-3</v>
      </c>
      <c r="C275" s="8">
        <v>-2.710063E-3</v>
      </c>
    </row>
    <row r="276" spans="1:3" x14ac:dyDescent="0.35">
      <c r="A276">
        <v>275</v>
      </c>
      <c r="B276">
        <v>5.1503520000000004E-3</v>
      </c>
      <c r="C276" s="8">
        <v>-2.5995179999999999E-3</v>
      </c>
    </row>
    <row r="277" spans="1:3" x14ac:dyDescent="0.35">
      <c r="A277">
        <v>276</v>
      </c>
      <c r="B277">
        <v>4.9323574000000002E-3</v>
      </c>
      <c r="C277" s="8">
        <v>-2.4895109999999998E-3</v>
      </c>
    </row>
    <row r="278" spans="1:3" x14ac:dyDescent="0.35">
      <c r="A278">
        <v>277</v>
      </c>
      <c r="B278">
        <v>4.7154253999999998E-3</v>
      </c>
      <c r="C278" s="8">
        <v>-2.3800380000000001E-3</v>
      </c>
    </row>
    <row r="279" spans="1:3" x14ac:dyDescent="0.35">
      <c r="A279">
        <v>278</v>
      </c>
      <c r="B279">
        <v>4.4995469E-3</v>
      </c>
      <c r="C279" s="8">
        <v>-2.271094E-3</v>
      </c>
    </row>
    <row r="280" spans="1:3" x14ac:dyDescent="0.35">
      <c r="A280">
        <v>279</v>
      </c>
      <c r="B280">
        <v>4.2847131000000004E-3</v>
      </c>
      <c r="C280" s="8">
        <v>-2.1626750000000002E-3</v>
      </c>
    </row>
    <row r="281" spans="1:3" x14ac:dyDescent="0.35">
      <c r="A281">
        <v>280</v>
      </c>
      <c r="B281">
        <v>4.0709153999999997E-3</v>
      </c>
      <c r="C281" s="8">
        <v>-2.0547759999999999E-3</v>
      </c>
    </row>
    <row r="282" spans="1:3" x14ac:dyDescent="0.35">
      <c r="A282">
        <v>281</v>
      </c>
      <c r="B282">
        <v>3.8581452E-3</v>
      </c>
      <c r="C282" s="8">
        <v>-1.9473940000000001E-3</v>
      </c>
    </row>
    <row r="283" spans="1:3" x14ac:dyDescent="0.35">
      <c r="A283">
        <v>282</v>
      </c>
      <c r="B283">
        <v>3.6463939999999999E-3</v>
      </c>
      <c r="C283" s="8">
        <v>-1.8405240000000001E-3</v>
      </c>
    </row>
    <row r="284" spans="1:3" x14ac:dyDescent="0.35">
      <c r="A284">
        <v>283</v>
      </c>
      <c r="B284">
        <v>3.4356534E-3</v>
      </c>
      <c r="C284" s="8">
        <v>-1.734162E-3</v>
      </c>
    </row>
    <row r="285" spans="1:3" x14ac:dyDescent="0.35">
      <c r="A285">
        <v>284</v>
      </c>
      <c r="B285">
        <v>3.2259150999999998E-3</v>
      </c>
      <c r="C285" s="8">
        <v>-1.6283039999999999E-3</v>
      </c>
    </row>
    <row r="286" spans="1:3" x14ac:dyDescent="0.35">
      <c r="A286">
        <v>285</v>
      </c>
      <c r="B286">
        <v>3.0171707999999998E-3</v>
      </c>
      <c r="C286" s="8">
        <v>-1.5229460000000001E-3</v>
      </c>
    </row>
    <row r="287" spans="1:3" x14ac:dyDescent="0.35">
      <c r="A287">
        <v>286</v>
      </c>
      <c r="B287">
        <v>2.8094126000000001E-3</v>
      </c>
      <c r="C287" s="8">
        <v>-1.4180849999999999E-3</v>
      </c>
    </row>
    <row r="288" spans="1:3" x14ac:dyDescent="0.35">
      <c r="A288">
        <v>287</v>
      </c>
      <c r="B288">
        <v>2.6026322999999998E-3</v>
      </c>
      <c r="C288" s="8">
        <v>-1.3137159999999999E-3</v>
      </c>
    </row>
    <row r="289" spans="1:3" x14ac:dyDescent="0.35">
      <c r="A289">
        <v>288</v>
      </c>
      <c r="B289">
        <v>2.3968220999999999E-3</v>
      </c>
      <c r="C289" s="8">
        <v>-1.209835E-3</v>
      </c>
    </row>
    <row r="290" spans="1:3" x14ac:dyDescent="0.35">
      <c r="A290">
        <v>289</v>
      </c>
      <c r="B290">
        <v>2.1919741000000002E-3</v>
      </c>
      <c r="C290" s="8">
        <v>-1.106438E-3</v>
      </c>
    </row>
    <row r="291" spans="1:3" x14ac:dyDescent="0.35">
      <c r="A291">
        <v>290</v>
      </c>
      <c r="B291">
        <v>1.9880805999999999E-3</v>
      </c>
      <c r="C291" s="8">
        <v>-1.0035230000000001E-3</v>
      </c>
    </row>
    <row r="292" spans="1:3" x14ac:dyDescent="0.35">
      <c r="A292">
        <v>291</v>
      </c>
      <c r="B292">
        <v>1.7851339E-3</v>
      </c>
      <c r="C292" s="8">
        <v>-9.0108400000000002E-4</v>
      </c>
    </row>
    <row r="293" spans="1:3" x14ac:dyDescent="0.35">
      <c r="A293">
        <v>292</v>
      </c>
      <c r="B293">
        <v>1.5831265E-3</v>
      </c>
      <c r="C293" s="8">
        <v>-7.9911860000000002E-4</v>
      </c>
    </row>
    <row r="294" spans="1:3" x14ac:dyDescent="0.35">
      <c r="A294">
        <v>293</v>
      </c>
      <c r="B294">
        <v>1.3820508E-3</v>
      </c>
      <c r="C294" s="8">
        <v>-6.9762269999999998E-4</v>
      </c>
    </row>
    <row r="295" spans="1:3" x14ac:dyDescent="0.35">
      <c r="A295">
        <v>294</v>
      </c>
      <c r="B295">
        <v>1.1818995999999999E-3</v>
      </c>
      <c r="C295" s="8">
        <v>-5.9659280000000001E-4</v>
      </c>
    </row>
    <row r="296" spans="1:3" x14ac:dyDescent="0.35">
      <c r="A296">
        <v>295</v>
      </c>
      <c r="B296">
        <v>9.8266540000000011E-4</v>
      </c>
      <c r="C296" s="8">
        <v>-4.9602529999999998E-4</v>
      </c>
    </row>
    <row r="297" spans="1:3" x14ac:dyDescent="0.35">
      <c r="A297">
        <v>296</v>
      </c>
      <c r="B297">
        <v>7.8434100000000003E-4</v>
      </c>
      <c r="C297" s="8">
        <v>-3.959166E-4</v>
      </c>
    </row>
    <row r="298" spans="1:3" x14ac:dyDescent="0.35">
      <c r="A298">
        <v>297</v>
      </c>
      <c r="B298">
        <v>5.8691929999999998E-4</v>
      </c>
      <c r="C298" s="8">
        <v>-2.9626309999999999E-4</v>
      </c>
    </row>
    <row r="299" spans="1:3" x14ac:dyDescent="0.35">
      <c r="A299">
        <v>298</v>
      </c>
      <c r="B299">
        <v>3.9039320000000001E-4</v>
      </c>
      <c r="C299" s="8">
        <v>-1.9706150000000001E-4</v>
      </c>
    </row>
    <row r="300" spans="1:3" x14ac:dyDescent="0.35">
      <c r="A300">
        <v>299</v>
      </c>
      <c r="B300">
        <v>1.9475579999999999E-4</v>
      </c>
      <c r="C300" s="8">
        <v>-9.830827E-5</v>
      </c>
    </row>
    <row r="301" spans="1:3" x14ac:dyDescent="0.35">
      <c r="A301">
        <v>300</v>
      </c>
      <c r="B301">
        <v>0</v>
      </c>
      <c r="C301" s="8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</vt:lpstr>
      <vt:lpstr>Example 2</vt:lpstr>
      <vt:lpstr>splines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 Korn</dc:creator>
  <cp:lastModifiedBy>Uri Korn</cp:lastModifiedBy>
  <dcterms:created xsi:type="dcterms:W3CDTF">2025-08-25T18:47:05Z</dcterms:created>
  <dcterms:modified xsi:type="dcterms:W3CDTF">2025-10-26T12:28:54Z</dcterms:modified>
</cp:coreProperties>
</file>